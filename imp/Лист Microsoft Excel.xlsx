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3" i="1" l="1"/>
  <c r="F173" i="1"/>
  <c r="G172" i="1"/>
  <c r="F172" i="1"/>
  <c r="G160" i="1"/>
  <c r="F160" i="1"/>
  <c r="G156" i="1"/>
  <c r="F156" i="1"/>
  <c r="G155" i="1"/>
  <c r="F155" i="1"/>
  <c r="G154" i="1"/>
  <c r="F154" i="1"/>
  <c r="G153" i="1"/>
  <c r="F153" i="1"/>
  <c r="G150" i="1"/>
  <c r="F150" i="1"/>
  <c r="G148" i="1"/>
  <c r="F148" i="1"/>
  <c r="G146" i="1"/>
  <c r="F146" i="1"/>
  <c r="G140" i="1"/>
  <c r="F140" i="1"/>
  <c r="G139" i="1"/>
  <c r="F139" i="1"/>
  <c r="G138" i="1"/>
  <c r="F138" i="1"/>
  <c r="G137" i="1"/>
  <c r="F137" i="1"/>
  <c r="G133" i="1"/>
  <c r="F133" i="1"/>
  <c r="G132" i="1"/>
  <c r="F132" i="1"/>
  <c r="G130" i="1"/>
  <c r="F130" i="1"/>
  <c r="G129" i="1"/>
  <c r="F129" i="1"/>
  <c r="G127" i="1"/>
  <c r="F127" i="1"/>
  <c r="G125" i="1"/>
  <c r="F125" i="1"/>
  <c r="G119" i="1"/>
  <c r="F119" i="1"/>
  <c r="G118" i="1"/>
  <c r="F118" i="1"/>
  <c r="G115" i="1"/>
  <c r="F115" i="1"/>
  <c r="G114" i="1"/>
  <c r="F114" i="1"/>
  <c r="G111" i="1"/>
  <c r="F111" i="1"/>
  <c r="G110" i="1"/>
  <c r="F110" i="1"/>
  <c r="G103" i="1"/>
  <c r="F103" i="1"/>
  <c r="G102" i="1"/>
  <c r="F102" i="1"/>
  <c r="G89" i="1"/>
  <c r="F89" i="1"/>
  <c r="G82" i="1"/>
  <c r="F82" i="1"/>
  <c r="G75" i="1"/>
  <c r="F75" i="1"/>
  <c r="G70" i="1"/>
  <c r="F70" i="1"/>
  <c r="G68" i="1"/>
  <c r="F68" i="1"/>
  <c r="G62" i="1"/>
  <c r="F62" i="1"/>
  <c r="G60" i="1"/>
  <c r="F60" i="1"/>
  <c r="G58" i="1"/>
  <c r="F58" i="1"/>
  <c r="G55" i="1"/>
  <c r="F55" i="1"/>
  <c r="G35" i="1"/>
  <c r="F35" i="1"/>
  <c r="G23" i="1"/>
  <c r="F23" i="1"/>
  <c r="G22" i="1"/>
  <c r="F22" i="1"/>
  <c r="G21" i="1"/>
  <c r="F21" i="1"/>
  <c r="F20" i="1"/>
  <c r="F19" i="1"/>
  <c r="F18" i="1"/>
  <c r="F17" i="1"/>
  <c r="F16" i="1"/>
  <c r="G15" i="1"/>
  <c r="F15" i="1"/>
  <c r="G14" i="1"/>
  <c r="F14" i="1"/>
  <c r="F13" i="1"/>
  <c r="F12" i="1"/>
  <c r="G8" i="1"/>
  <c r="F8" i="1"/>
</calcChain>
</file>

<file path=xl/sharedStrings.xml><?xml version="1.0" encoding="utf-8"?>
<sst xmlns="http://schemas.openxmlformats.org/spreadsheetml/2006/main" count="1742" uniqueCount="588">
  <si>
    <t>мартин</t>
  </si>
  <si>
    <t>№ п/п</t>
  </si>
  <si>
    <t>тип продления</t>
  </si>
  <si>
    <t>Окончание сертификата</t>
  </si>
  <si>
    <t>Наименование организации</t>
  </si>
  <si>
    <t>ИНН</t>
  </si>
  <si>
    <t xml:space="preserve">КПП </t>
  </si>
  <si>
    <t>Менеджер</t>
  </si>
  <si>
    <t>Продукт</t>
  </si>
  <si>
    <t>Тариф поставки</t>
  </si>
  <si>
    <t>Комментарий из клиента</t>
  </si>
  <si>
    <t>Комментарий из пакета услуг</t>
  </si>
  <si>
    <t>Состояние</t>
  </si>
  <si>
    <t>коменнтарий менеджера</t>
  </si>
  <si>
    <t>неотработанные</t>
  </si>
  <si>
    <t>ООО "НЕДРА"</t>
  </si>
  <si>
    <t>2628055164</t>
  </si>
  <si>
    <t>263201001</t>
  </si>
  <si>
    <t>Дьяконова Анна Александровна</t>
  </si>
  <si>
    <t>ФСС</t>
  </si>
  <si>
    <t>Набоков Константин Эдуардович</t>
  </si>
  <si>
    <t>ООО "Арго +"</t>
  </si>
  <si>
    <t>2626033609</t>
  </si>
  <si>
    <t>262601001</t>
  </si>
  <si>
    <t>Торги</t>
  </si>
  <si>
    <t>Тариф "Сертум Классик"</t>
  </si>
  <si>
    <t>Богатиков Константин Сергеевич</t>
  </si>
  <si>
    <t>8(8793)47-20-23;</t>
  </si>
  <si>
    <t>ООО "Строительная компания "Югэнергостройкомплект"</t>
  </si>
  <si>
    <t>2626031016</t>
  </si>
  <si>
    <t>263001001</t>
  </si>
  <si>
    <t>Кобринский Борис Альфредович</t>
  </si>
  <si>
    <t>8 (928) 267 32 27;</t>
  </si>
  <si>
    <t>ООО "ГИДРОСТРОЙСЕРВИС"</t>
  </si>
  <si>
    <t>0603281432</t>
  </si>
  <si>
    <t>060301001</t>
  </si>
  <si>
    <t>Куркиев Хаджимурад Юсупович</t>
  </si>
  <si>
    <t xml:space="preserve"> </t>
  </si>
  <si>
    <t>ФЕВРАЛЬ, я вообще с местными ингушами работаю.</t>
  </si>
  <si>
    <t>ООО "Глобус"</t>
  </si>
  <si>
    <t>Контур-Экстерн</t>
  </si>
  <si>
    <t>Тариф «Оптимальный Плюс» для ЮЛ на общем режиме (+Норматив, РЗ)</t>
  </si>
  <si>
    <t xml:space="preserve">Фокус - Потенциальный; </t>
  </si>
  <si>
    <t>Внимание! Клиент перешел от конкурента.  на Март</t>
  </si>
  <si>
    <t>ФЕВРАЛЬ</t>
  </si>
  <si>
    <t>ИП Гацан Константин Владимирович</t>
  </si>
  <si>
    <t>Сертум</t>
  </si>
  <si>
    <t xml:space="preserve">Контур.Закупки - Потенциальный; Экстерн - Потенциальный; </t>
  </si>
  <si>
    <t>нет оорганизации в црм(на январь, может расширим подпись)</t>
  </si>
  <si>
    <t>ООО "АМРА"</t>
  </si>
  <si>
    <t>егаис</t>
  </si>
  <si>
    <t>прозвонить предложить егаис</t>
  </si>
  <si>
    <t>Через Алексея делают заявки, не знаем как связаться</t>
  </si>
  <si>
    <t>КАБЛУЧЕВА ИРИНА ВЛАДИМИРОВНА</t>
  </si>
  <si>
    <t>260900118263</t>
  </si>
  <si>
    <t xml:space="preserve">         </t>
  </si>
  <si>
    <t>ПРОКОНСУЛЬТИРОВАЛА, февраль</t>
  </si>
  <si>
    <t>если будем, то в феврале или марте, мы вам позвоним</t>
  </si>
  <si>
    <t>ОАО "Издательство "Кавказская здравница"</t>
  </si>
  <si>
    <t>2630034789</t>
  </si>
  <si>
    <t>Янкелевич Илья Валентинович</t>
  </si>
  <si>
    <t>8 (87922)62389;телефон  8 (87922)62134;факс</t>
  </si>
  <si>
    <t>03.03.16 - продление 15 февраля звонить</t>
  </si>
  <si>
    <t>ИП Леонов Виталий Семенович</t>
  </si>
  <si>
    <t>ИП Полиев Георгий Шотаевич</t>
  </si>
  <si>
    <t>ООО «Ахиллес»</t>
  </si>
  <si>
    <t>ООО "Эвридики"</t>
  </si>
  <si>
    <t>ИП Григорьян Лариса Ивановна</t>
  </si>
  <si>
    <t>ИП Немчинова Анна Ивановна</t>
  </si>
  <si>
    <t>ИП Ермолаева Татьяна Вячеславовна</t>
  </si>
  <si>
    <t>не могу выставить счет!созвониться с  клиентом и если он еще не оплатил перевести по инциденту</t>
  </si>
  <si>
    <t>ИП Кесов Дионисий Александрович</t>
  </si>
  <si>
    <t>ИП Коршунова Елена Ивановна</t>
  </si>
  <si>
    <t>ООО "МАКСТОРГ"</t>
  </si>
  <si>
    <t>ООО "Казачий Стан"</t>
  </si>
  <si>
    <t>ООО "РАЗДОЛЬЕ"</t>
  </si>
  <si>
    <t>89283126678</t>
  </si>
  <si>
    <t>БАРДАКОВА ГАЛИНА ПАВЛОВНА</t>
  </si>
  <si>
    <t>262500345280</t>
  </si>
  <si>
    <t>89286306336</t>
  </si>
  <si>
    <t>САМАРИНА ТАТЬЯНА ГРИГОРЬЕВНА</t>
  </si>
  <si>
    <t>262500524786</t>
  </si>
  <si>
    <t>89283075031</t>
  </si>
  <si>
    <t>ТРЕЩЕВА ОЛЬГА ГЕОРГИЕВНА</t>
  </si>
  <si>
    <t>262500589134</t>
  </si>
  <si>
    <t>89064968758</t>
  </si>
  <si>
    <t>БЕЛОУСОВ НИКОЛАЙ АЛЕКСАНДРОВИЧ</t>
  </si>
  <si>
    <t>262500994206</t>
  </si>
  <si>
    <t>89283030708</t>
  </si>
  <si>
    <t>НАУМОВА НИНА МИХАЙЛОВНА</t>
  </si>
  <si>
    <t>262502129407</t>
  </si>
  <si>
    <t>89289360044</t>
  </si>
  <si>
    <t>ПРОКОПЧУК СЕРГЕЙ МИХАЙЛОВИЧ</t>
  </si>
  <si>
    <t>262502359087</t>
  </si>
  <si>
    <t>89289706500</t>
  </si>
  <si>
    <t>ХАЗАРОВА ИРИНА НИКОЛАЕВНА</t>
  </si>
  <si>
    <t>262502822241</t>
  </si>
  <si>
    <t>88795151386</t>
  </si>
  <si>
    <t>КАРИЕВА РУЗАНА АРТЁМОВНА</t>
  </si>
  <si>
    <t>262503052242</t>
  </si>
  <si>
    <t>89283415950</t>
  </si>
  <si>
    <t>88795122222</t>
  </si>
  <si>
    <t>СИНАХИНА РАИСА САМУИЛОВНА</t>
  </si>
  <si>
    <t>262503089309</t>
  </si>
  <si>
    <t>ООО "Бэст"</t>
  </si>
  <si>
    <t>89614744131</t>
  </si>
  <si>
    <t>КАЗАРИН СЕРГЕЙ ВЛАДИМИРОВИЧ</t>
  </si>
  <si>
    <t>262505005921</t>
  </si>
  <si>
    <t>89283555842</t>
  </si>
  <si>
    <t>ГОРШЕНИНА ЛИДИЯ ИВАНОВНА</t>
  </si>
  <si>
    <t>262505261509</t>
  </si>
  <si>
    <t>88795160317</t>
  </si>
  <si>
    <t>МОРКВИНА ТАТЬЯНА АЛЕКСЕЕВНА</t>
  </si>
  <si>
    <t>262505356126</t>
  </si>
  <si>
    <t>89280106761</t>
  </si>
  <si>
    <t>89097519905</t>
  </si>
  <si>
    <t>СААКОВ АРТЕМ АНДРЕЕВИЧ</t>
  </si>
  <si>
    <t>262510629900</t>
  </si>
  <si>
    <t>89283653671</t>
  </si>
  <si>
    <t>ГОРШЕНИНА ЮЛИЯ ФЕДОРОВНА</t>
  </si>
  <si>
    <t>262511537755</t>
  </si>
  <si>
    <t>МЕЛКУМЯН ЛИЛИЯ ГРАНТОВНА</t>
  </si>
  <si>
    <t>262512886526</t>
  </si>
  <si>
    <t>89283098844</t>
  </si>
  <si>
    <t>ТРУБИНА ИННА ВЛАДИМИРОВНА</t>
  </si>
  <si>
    <t>262513685621</t>
  </si>
  <si>
    <t>89188621366</t>
  </si>
  <si>
    <t>февраль резник</t>
  </si>
  <si>
    <t>ОАО "Ессентукская Теплосеть"</t>
  </si>
  <si>
    <t>2626020720</t>
  </si>
  <si>
    <t>КЭП</t>
  </si>
  <si>
    <t>Тариф "Квалифицированный Классик"</t>
  </si>
  <si>
    <t>Любимов Михаил Львович</t>
  </si>
  <si>
    <t>8(87934)2-49-46;Александра Алексеевна  8 (928) 340-98-02;Наталья</t>
  </si>
  <si>
    <t xml:space="preserve">    </t>
  </si>
  <si>
    <t>ООО "СТИЛЬ-ДОМ"</t>
  </si>
  <si>
    <t>2632809819</t>
  </si>
  <si>
    <t>КЭ</t>
  </si>
  <si>
    <t>Тариф «Оптимальный Плюс» для ЮЛ на спецрежиме (+Норматив, РЗ)</t>
  </si>
  <si>
    <t>Шарабок Галина Яковлевна</t>
  </si>
  <si>
    <t>8 (8793) 976011;доб 109</t>
  </si>
  <si>
    <t>ИП Кривцова Наталья Михайловна</t>
  </si>
  <si>
    <t>262900419874</t>
  </si>
  <si>
    <t>Тариф «Общий»</t>
  </si>
  <si>
    <t>Кривцова Наталья Михайловна</t>
  </si>
  <si>
    <t>8 (8793) 33 38 42;  8 (962) 493 09 00;</t>
  </si>
  <si>
    <t>ООО "ЦУА"</t>
  </si>
  <si>
    <t>2632076590</t>
  </si>
  <si>
    <t>Гаевский Андрей Владимирович</t>
  </si>
  <si>
    <t>8 (8793) 34 67 98;  8 (8793) 34-67-81;</t>
  </si>
  <si>
    <t>ИП Дубина Виктор Владимирович</t>
  </si>
  <si>
    <t>263214787232</t>
  </si>
  <si>
    <t>Тариф "Сертум Сильвер"</t>
  </si>
  <si>
    <t>Дубина Виктор Владимирович</t>
  </si>
  <si>
    <t>8 (928) 348 5220;</t>
  </si>
  <si>
    <t>ИП Савченко Екатерина Евгеньевна</t>
  </si>
  <si>
    <t>261803192601</t>
  </si>
  <si>
    <t>Контур-Отчет ПФ</t>
  </si>
  <si>
    <t>Савченко Екатерина Евгеньевна</t>
  </si>
  <si>
    <t>8(962) 4039007;</t>
  </si>
  <si>
    <t>ИП Оришко Наталья Николаевна</t>
  </si>
  <si>
    <t>263201976955</t>
  </si>
  <si>
    <t>Оришко Наталья Николаевна</t>
  </si>
  <si>
    <t>8(961) 473-94-15;</t>
  </si>
  <si>
    <t>ООО "ТЭН"</t>
  </si>
  <si>
    <t>2635069383</t>
  </si>
  <si>
    <t>263501001</t>
  </si>
  <si>
    <t>Городецкий Виктор Станиславович</t>
  </si>
  <si>
    <t>89187969999;  8 (938) 310 46 46;Ирина  8 (938) 333 40 04;Ирина  8 (928) 652 7575;Максим</t>
  </si>
  <si>
    <t>НУЦ "ЗНАНИЕ"</t>
  </si>
  <si>
    <t>2625023982</t>
  </si>
  <si>
    <t>262501001</t>
  </si>
  <si>
    <t>Долженко Валентина Васильевна</t>
  </si>
  <si>
    <t>8(87951)6-04-36;Надежда Федоровна  8(87951)8-79-51;</t>
  </si>
  <si>
    <t>ООО "Савоир"</t>
  </si>
  <si>
    <t>2626028528</t>
  </si>
  <si>
    <t>Петровский Дмитрий Анатольевич</t>
  </si>
  <si>
    <t>8 (87934) 6-79-37;добавочный 3  - Ирина</t>
  </si>
  <si>
    <t>поставка 2 месяца</t>
  </si>
  <si>
    <t>ООО "КТЭК"</t>
  </si>
  <si>
    <t>Контур-Фокус</t>
  </si>
  <si>
    <t>Тариф «Бизнес»</t>
  </si>
  <si>
    <t>Заявка от СКБ Контур 29.10.2013 на ТД, контактного лица  в заявке нет, переговорили с сенретарем, отправлен регк арта/Горобченко 30,10,2013 промокод 1210 Анастасия 8-950-589-04-24</t>
  </si>
  <si>
    <t>ООО "Хорсъ"</t>
  </si>
  <si>
    <t>2626042138</t>
  </si>
  <si>
    <t>Шрамко Анастасия Евгеньевна</t>
  </si>
  <si>
    <t>8879346-42-78;</t>
  </si>
  <si>
    <t>ИП Орлов Николай Вадимович</t>
  </si>
  <si>
    <t>262802075135</t>
  </si>
  <si>
    <t>Орлов Николай Вадимович</t>
  </si>
  <si>
    <t>8 (905) 448 78 18;Николай Вадимович -перед продлением переговорить с Алексеем!чтоб Алексей сам с ним переговорил!</t>
  </si>
  <si>
    <t>ООО "КМВ-ВОДА"</t>
  </si>
  <si>
    <t>конт лицо Сячинова Татьяна Старший бухгалтер по расчету з/платы ФРИТО  Anna.Pogrebnyak@pepsico.com - акты сверки</t>
  </si>
  <si>
    <t>ООО "АЗИЯ АЛЬЯНС"</t>
  </si>
  <si>
    <t>2632808533</t>
  </si>
  <si>
    <t>Ким Татьяна Андреевна</t>
  </si>
  <si>
    <t>8 (938)309-22-44;Екатерина Владимировна  8 (928) 369 5256;Виктория</t>
  </si>
  <si>
    <t>сертификат 2 мес</t>
  </si>
  <si>
    <t>АО "Кавказгеолсъемка"</t>
  </si>
  <si>
    <t>7-42-34 Статус в Контур.Фокус на 27.02.2015: Действующее</t>
  </si>
  <si>
    <t>ОАО "Энергострой-М.Н."</t>
  </si>
  <si>
    <t>7709327376</t>
  </si>
  <si>
    <t>010504001</t>
  </si>
  <si>
    <t>Адюков Мажид Солтаханович</t>
  </si>
  <si>
    <t>+7 928 825 4019;</t>
  </si>
  <si>
    <t>ООО "Амальтея Диджитал Ресёч"</t>
  </si>
  <si>
    <t>Тариф «Оптимальный» для ЮЛ на спецрежиме</t>
  </si>
  <si>
    <t>+7 9624401834 с апреля 2015 года подключились к 1С. стоит 4900 в год... Странные. Наш счет на 5040 рублей не смог их переубедить. Говорит, им так удобнее.</t>
  </si>
  <si>
    <t>ООО "Ростмедтех"</t>
  </si>
  <si>
    <t>2632078090</t>
  </si>
  <si>
    <t>Багатиров Багомед Алибулатович</t>
  </si>
  <si>
    <t>8 (8793) 97-59-14;</t>
  </si>
  <si>
    <t>ООО "Авента"</t>
  </si>
  <si>
    <t>2632800862</t>
  </si>
  <si>
    <t>8 (928)3409802;</t>
  </si>
  <si>
    <t>ИП Гениевский Вячеслав Юрьевич</t>
  </si>
  <si>
    <t>262803412513</t>
  </si>
  <si>
    <t>Гениевский Вячеслав Юрьевич</t>
  </si>
  <si>
    <t>8 (928) 635 59 51;Вячеслав  8 (928) 358 40 38;Игорь</t>
  </si>
  <si>
    <t>ООО "Эталон"</t>
  </si>
  <si>
    <t>Рег. № ПФР 036-026-000555</t>
  </si>
  <si>
    <t>ООО "Холод-розлив"</t>
  </si>
  <si>
    <t>2632056298</t>
  </si>
  <si>
    <t>Соломко Юрий Иванович</t>
  </si>
  <si>
    <t>8(8793)38-42-30;  8 (962) 440 8770;Виктория Валерьевна</t>
  </si>
  <si>
    <t>ИП Хачатурян Андрей Бахшиевич</t>
  </si>
  <si>
    <t>Статус в Контур.Фокус на 30.10.2015: Действующее</t>
  </si>
  <si>
    <t>ИП Боровик Сергей Викторович</t>
  </si>
  <si>
    <t>263207875745</t>
  </si>
  <si>
    <t>Боровик Сергей Викторович</t>
  </si>
  <si>
    <t>8 (928) 2671221;Сергей Викторович</t>
  </si>
  <si>
    <t>ООО "АиС Фарм"</t>
  </si>
  <si>
    <t>2626038075</t>
  </si>
  <si>
    <t>Гамидов Орудж Алосатович</t>
  </si>
  <si>
    <t>8 (928) 970 91 93;</t>
  </si>
  <si>
    <t>ЗАО совхоз "Декоративные культуры"</t>
  </si>
  <si>
    <t>2632014700</t>
  </si>
  <si>
    <t>Кардаш Валерий Николаевич</t>
  </si>
  <si>
    <t>8 928 3079978;  8 (8793) 338755;  8 (8793) 975221;</t>
  </si>
  <si>
    <t>ГБУЗ СК КККВД, Ессентукский филиал государственного бюджетного учреждения здравоохранения Ставропольского края «Краевой клинический кожно- венерологический диспансер»</t>
  </si>
  <si>
    <t>2633002915</t>
  </si>
  <si>
    <t>262602001</t>
  </si>
  <si>
    <t>Киворкова Маргарита Эдуардовна</t>
  </si>
  <si>
    <t>8(8793)46-52-92;461041</t>
  </si>
  <si>
    <t>МБДОУ детский сад №9 Светлячок</t>
  </si>
  <si>
    <t>Тариф «ЮЛ Бюджетник Плюс» (+Норматив, РЗ)</t>
  </si>
  <si>
    <t>8-928-362-34-18 Надежда Михайловна</t>
  </si>
  <si>
    <t>МКУ ДО ЦДТ</t>
  </si>
  <si>
    <t>2618010735</t>
  </si>
  <si>
    <t>261801001</t>
  </si>
  <si>
    <t>Ефремова Ольга Петровна</t>
  </si>
  <si>
    <t>8(87961)5-19-17;</t>
  </si>
  <si>
    <t>Предприятие "КРОС ' С"</t>
  </si>
  <si>
    <t>2630028993</t>
  </si>
  <si>
    <t>Кравченко Сергей Алексеевич</t>
  </si>
  <si>
    <t>88792275074;Николай Николаевич  88792275073;  88792275530;</t>
  </si>
  <si>
    <t>ИП Авадьяев Эдуард Ешорович</t>
  </si>
  <si>
    <t>263200372439</t>
  </si>
  <si>
    <t>Авадьяев Эдуард Ешорович</t>
  </si>
  <si>
    <t>8-928-8161777;Эдуард</t>
  </si>
  <si>
    <t>ООО "ЧОП "БАСТИОН"</t>
  </si>
  <si>
    <t>2632085620</t>
  </si>
  <si>
    <t>Монахов Александр Евгеньевич</t>
  </si>
  <si>
    <t>8(8793)45-42-23;  8(87938)5-42-23;</t>
  </si>
  <si>
    <t>ОАО "Международный аэропорт Минеральные Воды"</t>
  </si>
  <si>
    <t>2630800970</t>
  </si>
  <si>
    <t>Чуев Роман Викторович</t>
  </si>
  <si>
    <t>8 (87922) 6-78-28;  89097644825;  8 (928) 264 49 81;Ольга  8 (928) 335 00 48;Юлия Викторовна</t>
  </si>
  <si>
    <t>ООО "Зелёный Мир"</t>
  </si>
  <si>
    <t>2632082636</t>
  </si>
  <si>
    <t>Кардаш Наталья Анатольевна</t>
  </si>
  <si>
    <t>8(8793)39-49-38;</t>
  </si>
  <si>
    <t>ООО СК "ПЯТИГОРЬЕ"</t>
  </si>
  <si>
    <t>Сбербанк АСТ-СК, "Торикова Е."| , удаление дублей Статус в Контур.Фокус на 01.04.2014: Действующее Статус в Контур.Фокус на 03.04.2015: Действующее</t>
  </si>
  <si>
    <t>ИП Каргин Александр Владимирович</t>
  </si>
  <si>
    <t>262601586676</t>
  </si>
  <si>
    <t>Каргин Александр Владимирович</t>
  </si>
  <si>
    <t>8(928)812-09-89</t>
  </si>
  <si>
    <t>ООО "КМВ МЕДИА"</t>
  </si>
  <si>
    <t>2628803035</t>
  </si>
  <si>
    <t>262801001</t>
  </si>
  <si>
    <t>Грибов Иван Иванович</t>
  </si>
  <si>
    <t>8 988 100 25 24;Иван</t>
  </si>
  <si>
    <t>АНО УТ ССК "Престиж-КМВ"</t>
  </si>
  <si>
    <t>2632750509</t>
  </si>
  <si>
    <t>Иванюта Юрий Пантелеевич</t>
  </si>
  <si>
    <t>8-928-347-94-12;  8-903-444-23-01;директор  8-8793-36-35-81;секретарь  8909-754-54-84;секретарь  8-918-778-07-55;методист</t>
  </si>
  <si>
    <t>ЧУДПО "УЧЕБНЫЙ ЦЕНТР "ПРЕСТИЖ"</t>
  </si>
  <si>
    <t>2635080154</t>
  </si>
  <si>
    <t>Иванюта Елена Геннадьевна</t>
  </si>
  <si>
    <t>8(8793)31-20-62;  8(8793)97-32-79;</t>
  </si>
  <si>
    <t>ООО "Аквилон Юг"</t>
  </si>
  <si>
    <t>2618021335</t>
  </si>
  <si>
    <t>Самарин Иван Егорович</t>
  </si>
  <si>
    <t>8 (918) 773-99-74;  8 (8793) 33-07-66;</t>
  </si>
  <si>
    <t>ИП Белозеров Геннадий Викторович</t>
  </si>
  <si>
    <t>261800094050</t>
  </si>
  <si>
    <t>Белозеров Геннадий Викторович</t>
  </si>
  <si>
    <t>8(8793)46-75-75;Татьяна Михайловна, Андрей Николаевич</t>
  </si>
  <si>
    <t>АО "КРСК"</t>
  </si>
  <si>
    <t>ЛП Ткаченко А. Контактное лицо: Картузов Геннадий Анатольевич сот. 8-961-442-74-82 info@krskfo.ru Статус в Контур.Фокус на 28.04.2014: Действующее Питько Светлана Егоровна pitko@krskfo.ru Статус в Контур.Фокус на 20.04.2015: Действующее</t>
  </si>
  <si>
    <t>ООО "Массаж 26.ру"</t>
  </si>
  <si>
    <t>2634806965</t>
  </si>
  <si>
    <t>Тариф "Сертум Голд"</t>
  </si>
  <si>
    <t>Колесник Андрей Владимирович</t>
  </si>
  <si>
    <t>89620089568;главбух Екатерина Анатольевна Зыгманд  89673137094;Наталья</t>
  </si>
  <si>
    <t>ИП Бурашников Сергей Владимирович</t>
  </si>
  <si>
    <t>263005645481</t>
  </si>
  <si>
    <t>Бурашников Сергей Владимирович</t>
  </si>
  <si>
    <t>8 (928) 631 78 61;</t>
  </si>
  <si>
    <t>ООО "СПУТНИК"</t>
  </si>
  <si>
    <t>1510017109</t>
  </si>
  <si>
    <t>151001001</t>
  </si>
  <si>
    <t>Спузовский Игорь Владимирович</t>
  </si>
  <si>
    <t>8 (928) 928 57 05;</t>
  </si>
  <si>
    <t>ООО "МАЛАХИТ"</t>
  </si>
  <si>
    <t>2632047141</t>
  </si>
  <si>
    <t>Малыхина Наталья Васильевна</t>
  </si>
  <si>
    <t>8 905 447 39 13;Директор</t>
  </si>
  <si>
    <t>АО "Санаторий "Воронеж"</t>
  </si>
  <si>
    <t>2626043540</t>
  </si>
  <si>
    <t>Лещенко Михаил Васильевич</t>
  </si>
  <si>
    <t>887934-6-75-47;Елена Владимировна  887934-6-31-14;экономист Галина Лукьянова(торги)</t>
  </si>
  <si>
    <t>ИП Бондарев Анатолий Николаевич</t>
  </si>
  <si>
    <t>263206954754</t>
  </si>
  <si>
    <t>Бондарев Анатолий Николаевич</t>
  </si>
  <si>
    <t>8 (905) 412 28 07;  8 (87937) 5 70 35;</t>
  </si>
  <si>
    <t>Ломоносов Сергей Сергеевич</t>
  </si>
  <si>
    <t>МАРТ</t>
  </si>
  <si>
    <t>ООО "Шалфей"</t>
  </si>
  <si>
    <t>2627019163</t>
  </si>
  <si>
    <t>262701001</t>
  </si>
  <si>
    <t>Невидимов Александр Сергеевич</t>
  </si>
  <si>
    <t>8(928)340-21-23;</t>
  </si>
  <si>
    <t>продлен до 13.04.2016 Анна Курочка МАРТ</t>
  </si>
  <si>
    <t>263212135263</t>
  </si>
  <si>
    <t>89887030774;Сергей</t>
  </si>
  <si>
    <t>март резник</t>
  </si>
  <si>
    <t>ОАО "ИНСТИТУТ "САХАЛИНГРАЖДАНПРОЕКТ"</t>
  </si>
  <si>
    <t>6501013971</t>
  </si>
  <si>
    <t>650101001</t>
  </si>
  <si>
    <t>Фокус</t>
  </si>
  <si>
    <t>Тариф «Премиум»</t>
  </si>
  <si>
    <t>Гиверский Артем Анатольевич</t>
  </si>
  <si>
    <t>8(4242)42-46-13;  8(4242)42-20-96;</t>
  </si>
  <si>
    <t>Сердюков Виктор Николаевич</t>
  </si>
  <si>
    <t>ООО "Сельскохозяйственное предприятие "МиК"</t>
  </si>
  <si>
    <t>8-928-347-37-20 Татьяна Петровна</t>
  </si>
  <si>
    <t>ООО "ЛЕД"</t>
  </si>
  <si>
    <t>Дата образования из Контур.Фокус: 05.12.2013 Статус в Контур.Фокус на 17.01.2014: Действующее</t>
  </si>
  <si>
    <t>ООО "Севкаврентген-Д"</t>
  </si>
  <si>
    <t>0703006616</t>
  </si>
  <si>
    <t>070301001</t>
  </si>
  <si>
    <t>Хуштов Бетал Зуберович</t>
  </si>
  <si>
    <t>8(86633)2-14-75;</t>
  </si>
  <si>
    <t>Молчанов Олег Николаевич</t>
  </si>
  <si>
    <t>262702164455</t>
  </si>
  <si>
    <t>Тариф "Квалифицированный Сильвер"</t>
  </si>
  <si>
    <t>89283364415;</t>
  </si>
  <si>
    <t>Семенов Хаджи-Даут Хаджи-Османович</t>
  </si>
  <si>
    <t>090102682825</t>
  </si>
  <si>
    <t>090100000</t>
  </si>
  <si>
    <t>МБОУ СОШ №5</t>
  </si>
  <si>
    <t>2632057936</t>
  </si>
  <si>
    <t>Почуева Валентина Викторовна</t>
  </si>
  <si>
    <t>8(8793)98-04-13;  8 (928)6363269;  8 (8793) 985379;Лариса Павловна</t>
  </si>
  <si>
    <t>ООО НПФ "ДИРЭН"</t>
  </si>
  <si>
    <t>2309139259</t>
  </si>
  <si>
    <t>230901001</t>
  </si>
  <si>
    <t>Коваленко Петр Иванович</t>
  </si>
  <si>
    <t>8 (928) 931-57-03;</t>
  </si>
  <si>
    <t>ООО "Юрэнергоконсалт"</t>
  </si>
  <si>
    <t>8 928 343 13 70 позже связаться по подключению остальных организаций к перс. данным ЛП Булгаков  ukt-sk1@yandex.ru - Татьяна Цатурова Квалифицированный для юр. лиц 8 961 4719447</t>
  </si>
  <si>
    <t>ОАО "Горэлектросеть"</t>
  </si>
  <si>
    <t>Ткаченко Александр| Поменялся директор (Комелев),с декабря 2008 поменялся директор(Калаушин Андрей Иванович), удаление дублей belolik79@mail.ru 6-35-65 Статус в Контур-Фокус на 25.11.2013: Действующее</t>
  </si>
  <si>
    <t>Усольцев;</t>
  </si>
  <si>
    <t>ИП Решетникова Магда Владимировна</t>
  </si>
  <si>
    <t>262805461393</t>
  </si>
  <si>
    <t>Решетникова Магда Владимировна</t>
  </si>
  <si>
    <t>89282640505;</t>
  </si>
  <si>
    <t>ООО "ГриГ"</t>
  </si>
  <si>
    <t>2632042898</t>
  </si>
  <si>
    <t>Карчава Гулади Алексеевич</t>
  </si>
  <si>
    <t>8 (8793)39-85-41;</t>
  </si>
  <si>
    <t>ООО "СМУ-15"</t>
  </si>
  <si>
    <t>Дата образования из Контур.Фокус: 26.01.2015 Статус в Контур.Фокус на 17.02.2015: Действующее Людмила Антонасовна Статус в Контур.Фокус на 21.10.2015: Действующее</t>
  </si>
  <si>
    <t>МБУДО "ДМШ г.Георгиевска"</t>
  </si>
  <si>
    <t>Внимание! Клиент перешел от конкурента. Статус в Контур-Фокус на 17.09.2013: Действующее Статус в Контур.Фокус на 28.01.2016: Действующее</t>
  </si>
  <si>
    <t>Администрация Предгорного Муниципального района Ставропольского края</t>
  </si>
  <si>
    <t>Гюльбяков Николай Кирьякович</t>
  </si>
  <si>
    <t>8(87961)5-11-55;  8 (87961) 5-11-55;  8 (928) 014 6680;Федор</t>
  </si>
  <si>
    <t>ОАО "Айсберг"</t>
  </si>
  <si>
    <t>2626000868</t>
  </si>
  <si>
    <t>Любарский Александр Владимирович</t>
  </si>
  <si>
    <t>8 (87934) 77729;Директор  8 (87934) 72196;Бухгалтер</t>
  </si>
  <si>
    <t>ЗАО "ЛИРА"</t>
  </si>
  <si>
    <t>Фокус ЛПР: Абрамов Роман Азарьянович (8-879-33)33-40-00 УБ 17  20.01.2009 г. пп86 оплатили за 2 организации вместо 3 При продлении на 2009-2010 г. в УБ-6 ofislira@kmv.ru; zaolira@bk.ru Сергей Иванович sblira2014@mail.ru 906-491-30-71</t>
  </si>
  <si>
    <t>ООО "Стеклокомплект"</t>
  </si>
  <si>
    <t>Тариф «Оптимальный» для ЮЛ на общем режиме</t>
  </si>
  <si>
    <t>Статус в Контур.Фокус на 28.05.2014: Действующее</t>
  </si>
  <si>
    <t>ООО "Конгресс 777"</t>
  </si>
  <si>
    <t>2632070038</t>
  </si>
  <si>
    <t>Даниелян Нерсес Александрович</t>
  </si>
  <si>
    <t>NULL</t>
  </si>
  <si>
    <t>ООО "Гермес-КМВ"</t>
  </si>
  <si>
    <t>2632807240</t>
  </si>
  <si>
    <t>Тройно Геннадий Алексеевич</t>
  </si>
  <si>
    <t>ООО "Гермес-Алко"</t>
  </si>
  <si>
    <t>2632807434</t>
  </si>
  <si>
    <t>Алиев Роман Рашидович</t>
  </si>
  <si>
    <t>ООО "Альянс КМВ"</t>
  </si>
  <si>
    <t>2632806335</t>
  </si>
  <si>
    <t>Усатов Сергей Анатольевич</t>
  </si>
  <si>
    <t>8 (918) 764 77 84;  8 (8793) 97-63-68;</t>
  </si>
  <si>
    <t>2627020257</t>
  </si>
  <si>
    <t>Соколов Константин Михайлович</t>
  </si>
  <si>
    <t>8 (87932) 5-03-64;</t>
  </si>
  <si>
    <t>Администрация муниципального образования Пригородного сельсовета</t>
  </si>
  <si>
    <t>Двоеглазова Елена Геннадиевна, гл.бухгалтер, (87932)4-36-11</t>
  </si>
  <si>
    <t>программа до 15 апреля. НА МАРТ</t>
  </si>
  <si>
    <t>ИП Куприда Вячеслав Александрович</t>
  </si>
  <si>
    <t>262508453640</t>
  </si>
  <si>
    <t>Куприда Вячеслав Александрович</t>
  </si>
  <si>
    <t>89283446881;89064901109</t>
  </si>
  <si>
    <t>март (но сам точно не знает когда)</t>
  </si>
  <si>
    <t>ООО "ПСКК "Машук Аква-Терм"</t>
  </si>
  <si>
    <t>Смена руководителя Гл. бухгалтера Виктория Владимировна - 8 87932 5 03 65 03.08.15 Работаю по КФ, подключение на след год. Белобородов О. Клиента не трогать!</t>
  </si>
  <si>
    <t>ГБУЗ СК "ГКБ" Г. ПЯТИГОРСКА</t>
  </si>
  <si>
    <t>2632064595</t>
  </si>
  <si>
    <t>Маршалкин Семен Михайлович</t>
  </si>
  <si>
    <t>8(8793)33-59-23;  8(8793)33-01-20;</t>
  </si>
  <si>
    <t>ООО "Стройэнергосервис"</t>
  </si>
  <si>
    <t>8-928-251-12-58 Александр (бухгалтер ОАО КЭУК) Статус в Контур-Фокус на 18.12.2013: Действующее</t>
  </si>
  <si>
    <t>ООО "Раздолье"</t>
  </si>
  <si>
    <t>Алкодекларация.Контур</t>
  </si>
  <si>
    <t>ООО "Сортировка и переработка"</t>
  </si>
  <si>
    <t>2626800053</t>
  </si>
  <si>
    <t>Герасименко Дмитрий Вячеславович</t>
  </si>
  <si>
    <t>8(8793)44-19-73;</t>
  </si>
  <si>
    <t>ООО "Торг Мех"</t>
  </si>
  <si>
    <t>ООО "Респект"</t>
  </si>
  <si>
    <t>Дата образования из Контур.Фокус: 07.07.2008 Статус в Контур.Фокус на 26.02.2014: Действующее</t>
  </si>
  <si>
    <t>ООО "ЛИДЕР"</t>
  </si>
  <si>
    <t>0724002813</t>
  </si>
  <si>
    <t>072301001</t>
  </si>
  <si>
    <t>РАР</t>
  </si>
  <si>
    <t>Дышеков Руслан Хабдинович</t>
  </si>
  <si>
    <t>8 (928) 707 68 58;</t>
  </si>
  <si>
    <t>ФГБДОУ "ДЕТСКИЙ САД ОБЩЕРАЗВИВАЮЩЕГО ВИДА "МОСКВА"</t>
  </si>
  <si>
    <t>2626006852</t>
  </si>
  <si>
    <t>Баскина Алла Петровна</t>
  </si>
  <si>
    <t>8(8793)46-64-67;</t>
  </si>
  <si>
    <t>ООО "БРАВО"</t>
  </si>
  <si>
    <t>0724001714</t>
  </si>
  <si>
    <t>Контур.Закупки</t>
  </si>
  <si>
    <t>Тариф "Стандарт сроком на 12 месяцев"</t>
  </si>
  <si>
    <t>ООО "СКС"</t>
  </si>
  <si>
    <t>ООО НПП "Охрана Труда"</t>
  </si>
  <si>
    <t>Статус в Контур.Фокус на 22.12.2014: Действующее</t>
  </si>
  <si>
    <t>ООО "КАРБОН-ВИК"</t>
  </si>
  <si>
    <t>Дата образования из Контур.Фокус: 05.06.1998 Статус в Контур.Фокус на 13.01.2015: Действующее carbon_co2@mail.ru Ольга бухгалтер обещала до конца мая-начало июня подписать акт за сверку</t>
  </si>
  <si>
    <t>Андросенко;</t>
  </si>
  <si>
    <t>счет выставлен отладчиком-завести в црм проконтролировать оплату</t>
  </si>
  <si>
    <t>ООО  "СПЕЦКОМПЛЕКТ ПЛЮС"</t>
  </si>
  <si>
    <t>2630804237</t>
  </si>
  <si>
    <t>Кравченко Наталья Федоровна</t>
  </si>
  <si>
    <t>8 (8793) 232383;  89289118444;</t>
  </si>
  <si>
    <t>ООО "ПСК"</t>
  </si>
  <si>
    <t>2632813029</t>
  </si>
  <si>
    <t>Забара Денис Юрьевич</t>
  </si>
  <si>
    <t>8 (928) 911 911 6;</t>
  </si>
  <si>
    <t>ООО "Черноморская стеклотара"</t>
  </si>
  <si>
    <t>2327011413</t>
  </si>
  <si>
    <t>232701001</t>
  </si>
  <si>
    <t>Баклаева Светлана Михайловна</t>
  </si>
  <si>
    <t>ГБУЗ СК "Стоматологическая поликлиника" г. Ессентуки</t>
  </si>
  <si>
    <t>2626030446</t>
  </si>
  <si>
    <t>Гарус   Галина Петровна</t>
  </si>
  <si>
    <t>8(8793)46-45-39;</t>
  </si>
  <si>
    <t>ООО УК "УЖФ"</t>
  </si>
  <si>
    <t>2632810677</t>
  </si>
  <si>
    <t>Селиверстов Александр Геннадьевич</t>
  </si>
  <si>
    <t>8 (8793) 332969;</t>
  </si>
  <si>
    <t>ООО "Даханаго плюс"</t>
  </si>
  <si>
    <t>Скачков Сергей Викторович</t>
  </si>
  <si>
    <t>ГБУЗ СК "ГДБ" Г. ПЯТИГОРСКА</t>
  </si>
  <si>
    <t>2632036044</t>
  </si>
  <si>
    <t>Никулин Олег Витальевич</t>
  </si>
  <si>
    <t>8(8793)39-28-65;Лидия Георгиевна  8(8793)39-37-33;Светлана Геннадьевна</t>
  </si>
  <si>
    <t>ООО "ЭКРА-ЮГ"</t>
  </si>
  <si>
    <t>При формировании в диадоке акта - везде наименование должно быть большими буквами!!!</t>
  </si>
  <si>
    <t>ИП Сиренко Людмила Викторовна</t>
  </si>
  <si>
    <t>260401809956</t>
  </si>
  <si>
    <t>Сиренко Людмила Викторовна</t>
  </si>
  <si>
    <t>89064928385;</t>
  </si>
  <si>
    <t>ИП Чекалов Сергей Васильевич</t>
  </si>
  <si>
    <t>Тариф «Оптимальный Плюс» для ИП на спецрежиме (+Норматив, РЗ)</t>
  </si>
  <si>
    <t>Статус в Контур-Фокус на 11.10.2013: Действующее</t>
  </si>
  <si>
    <t>Возврат ДС 5 200,00.</t>
  </si>
  <si>
    <t>ООО "АГЕНТСТВО "МОЗАИКА"</t>
  </si>
  <si>
    <t>2630029066</t>
  </si>
  <si>
    <t>Тариф "Квалифицированный Голд"</t>
  </si>
  <si>
    <t>Прокопенко Сергей Алексеевич</t>
  </si>
  <si>
    <t>8 (87922) 6-35-64;  8 (87922) 6-18-80;  8 (928) 359 68 30;</t>
  </si>
  <si>
    <t>ООО "ВЕСНА"</t>
  </si>
  <si>
    <t>2626003900</t>
  </si>
  <si>
    <t>Фисенко Валентина Ивановна</t>
  </si>
  <si>
    <t>ЗАО "ХОЛОД-СБЫТ"</t>
  </si>
  <si>
    <t>Контур.Алкодекларация плюс</t>
  </si>
  <si>
    <t>Статус в Контур-Фокус на 03.12.2013: Действующее</t>
  </si>
  <si>
    <t>ООО "Согласие"</t>
  </si>
  <si>
    <t>ИП Пилипенко Вячеслав Федорович</t>
  </si>
  <si>
    <t>317417-14@mail.ru</t>
  </si>
  <si>
    <t>ООО "САРМАТ"</t>
  </si>
  <si>
    <t>Дата образования из Контур.Фокус: 20.02.2013 Статус в Контур.Фокус на 11.03.2015: Действующее</t>
  </si>
  <si>
    <t>ОТГРУЖЕНО Куксов ячейка 10</t>
  </si>
  <si>
    <t>ООО "АГРО-СОЮЗ"</t>
  </si>
  <si>
    <t>2626802734</t>
  </si>
  <si>
    <t>Шаркова Валентина Трофимовна</t>
  </si>
  <si>
    <t>88793461585;</t>
  </si>
  <si>
    <t>ЗАО "ХОЛОД-ПРОД"</t>
  </si>
  <si>
    <t>2632055008</t>
  </si>
  <si>
    <t>Соломко Александр Викторович</t>
  </si>
  <si>
    <t>2632055015</t>
  </si>
  <si>
    <t>Полухина Наталья Викторовна</t>
  </si>
  <si>
    <t>ООО "Русагрохимсбыт"</t>
  </si>
  <si>
    <t>miginvest@rambler.ru Статус в Контур.Фокус на 14.09.2015: Действующее</t>
  </si>
  <si>
    <t>ООО "Энергопроект"</t>
  </si>
  <si>
    <t>7704769050</t>
  </si>
  <si>
    <t>770401001</t>
  </si>
  <si>
    <t>Диваев Игорь Константинович</t>
  </si>
  <si>
    <t>8 967 1547405;  8 928 371 71 41;Людмила  88793404052;</t>
  </si>
  <si>
    <t>ООО "Евромедсервис"</t>
  </si>
  <si>
    <t>2626034433</t>
  </si>
  <si>
    <t>ООО "ЮГСТРОЙ"</t>
  </si>
  <si>
    <t>2632001556</t>
  </si>
  <si>
    <t>Дидаев Лечи Ахьядович</t>
  </si>
  <si>
    <t>8 928 3790077;</t>
  </si>
  <si>
    <t>ООО ЧОП "Факел плюс"</t>
  </si>
  <si>
    <t>2632800647</t>
  </si>
  <si>
    <t>Рудневский Андрей Алексеевич</t>
  </si>
  <si>
    <t>88793975988;</t>
  </si>
  <si>
    <t>АО "СКЭРК"</t>
  </si>
  <si>
    <t>0721009031</t>
  </si>
  <si>
    <t>Марзаганов Борис Михайлович</t>
  </si>
  <si>
    <t>8(8793)40-57-38;  8 (928) 637 38 72;Александр  8 (8793) 405705;Елена Анатольевна  гл.бух.  8 (8793) 405718;Елена</t>
  </si>
  <si>
    <t>ООО "КМВ Сити"</t>
  </si>
  <si>
    <t>2632803623</t>
  </si>
  <si>
    <t>Паншин Александр Витальевич</t>
  </si>
  <si>
    <t>8 (928) 342 62 33;  8 (918) 805 83 00;</t>
  </si>
  <si>
    <t>НОУ СПО "СКГТ"</t>
  </si>
  <si>
    <t>2626034088</t>
  </si>
  <si>
    <t>Власенко Андрей Андреевич</t>
  </si>
  <si>
    <t>ООО "АФ Югаудит"</t>
  </si>
  <si>
    <t>2628043070</t>
  </si>
  <si>
    <t>Канашова Юлия Георгиевна</t>
  </si>
  <si>
    <t>8 (87937) 27511;</t>
  </si>
  <si>
    <t>СХК «Донагрокурорт» Филиал-санаторий «Дон»</t>
  </si>
  <si>
    <t>6163051203</t>
  </si>
  <si>
    <t>263243001</t>
  </si>
  <si>
    <t>Левченко Алексей Иванович</t>
  </si>
  <si>
    <t>8(8793)33-34-40;</t>
  </si>
  <si>
    <t>ООО "Рикотти"</t>
  </si>
  <si>
    <t>ООО "Медицинский центр "Аква-Терм"</t>
  </si>
  <si>
    <t>Филиал АО "Энергострой-М.Н." в г. Ессентуки "Проектный институт "Энергопроект"</t>
  </si>
  <si>
    <t>262643001</t>
  </si>
  <si>
    <t>Троцко Тамара Викторовна</t>
  </si>
  <si>
    <t>8(8793)33-31-08;</t>
  </si>
  <si>
    <t>ООО «Соболь»</t>
  </si>
  <si>
    <t>2628038546</t>
  </si>
  <si>
    <t>Корнеев Александр Сергеевич</t>
  </si>
  <si>
    <t>8(87937)6-38-11;</t>
  </si>
  <si>
    <t>ОАО "КАВТИСИЗПРОЕКТ"</t>
  </si>
  <si>
    <t>2632012893</t>
  </si>
  <si>
    <t>Теряев Василий Николаевич</t>
  </si>
  <si>
    <t>88793326956;</t>
  </si>
  <si>
    <t>ИП Хамизов Ибрагим Мусович</t>
  </si>
  <si>
    <t>070106579512</t>
  </si>
  <si>
    <t>Хамизов Ибрагим Мусович</t>
  </si>
  <si>
    <t>8 (938) 701 7 701;</t>
  </si>
  <si>
    <t>Отдел МВД России по г.Пятигорску</t>
  </si>
  <si>
    <t>2632033678</t>
  </si>
  <si>
    <t>Горский Сергей Николаевич</t>
  </si>
  <si>
    <t>88793369372;Елена  88793369275;галина</t>
  </si>
  <si>
    <t>ООО "МАРУСЯ"</t>
  </si>
  <si>
    <t>2632064281</t>
  </si>
  <si>
    <t>Стоян Мария Николаевна</t>
  </si>
  <si>
    <t>8 (928) 324 0094;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</si>
</sst>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tabSelected="1" workbookViewId="0">
      <selection activeCell="M6" sqref="M6"/>
    </sheetView>
  </sheetViews>
  <sheetFormatPr defaultColWidth="10" defaultRowHeight="12.75" x14ac:dyDescent="0.2"/>
  <cols>
    <col min="1" max="1" width="4.140625" style="1" customWidth="1"/>
    <col min="2" max="2" width="3.85546875" style="1" customWidth="1"/>
    <col min="3" max="3" width="10" style="1" customWidth="1"/>
    <col min="4" max="4" width="10" style="2" customWidth="1"/>
    <col min="5" max="5" width="23.28515625" style="1" customWidth="1"/>
    <col min="6" max="10" width="10" style="1"/>
    <col min="11" max="11" width="18.85546875" style="1" customWidth="1"/>
    <col min="12" max="256" width="10" style="1"/>
    <col min="257" max="257" width="4.140625" style="1" customWidth="1"/>
    <col min="258" max="258" width="3.85546875" style="1" customWidth="1"/>
    <col min="259" max="260" width="10" style="1" customWidth="1"/>
    <col min="261" max="261" width="23.28515625" style="1" customWidth="1"/>
    <col min="262" max="266" width="10" style="1"/>
    <col min="267" max="267" width="18.85546875" style="1" customWidth="1"/>
    <col min="268" max="512" width="10" style="1"/>
    <col min="513" max="513" width="4.140625" style="1" customWidth="1"/>
    <col min="514" max="514" width="3.85546875" style="1" customWidth="1"/>
    <col min="515" max="516" width="10" style="1" customWidth="1"/>
    <col min="517" max="517" width="23.28515625" style="1" customWidth="1"/>
    <col min="518" max="522" width="10" style="1"/>
    <col min="523" max="523" width="18.85546875" style="1" customWidth="1"/>
    <col min="524" max="768" width="10" style="1"/>
    <col min="769" max="769" width="4.140625" style="1" customWidth="1"/>
    <col min="770" max="770" width="3.85546875" style="1" customWidth="1"/>
    <col min="771" max="772" width="10" style="1" customWidth="1"/>
    <col min="773" max="773" width="23.28515625" style="1" customWidth="1"/>
    <col min="774" max="778" width="10" style="1"/>
    <col min="779" max="779" width="18.85546875" style="1" customWidth="1"/>
    <col min="780" max="1024" width="10" style="1"/>
    <col min="1025" max="1025" width="4.140625" style="1" customWidth="1"/>
    <col min="1026" max="1026" width="3.85546875" style="1" customWidth="1"/>
    <col min="1027" max="1028" width="10" style="1" customWidth="1"/>
    <col min="1029" max="1029" width="23.28515625" style="1" customWidth="1"/>
    <col min="1030" max="1034" width="10" style="1"/>
    <col min="1035" max="1035" width="18.85546875" style="1" customWidth="1"/>
    <col min="1036" max="1280" width="10" style="1"/>
    <col min="1281" max="1281" width="4.140625" style="1" customWidth="1"/>
    <col min="1282" max="1282" width="3.85546875" style="1" customWidth="1"/>
    <col min="1283" max="1284" width="10" style="1" customWidth="1"/>
    <col min="1285" max="1285" width="23.28515625" style="1" customWidth="1"/>
    <col min="1286" max="1290" width="10" style="1"/>
    <col min="1291" max="1291" width="18.85546875" style="1" customWidth="1"/>
    <col min="1292" max="1536" width="10" style="1"/>
    <col min="1537" max="1537" width="4.140625" style="1" customWidth="1"/>
    <col min="1538" max="1538" width="3.85546875" style="1" customWidth="1"/>
    <col min="1539" max="1540" width="10" style="1" customWidth="1"/>
    <col min="1541" max="1541" width="23.28515625" style="1" customWidth="1"/>
    <col min="1542" max="1546" width="10" style="1"/>
    <col min="1547" max="1547" width="18.85546875" style="1" customWidth="1"/>
    <col min="1548" max="1792" width="10" style="1"/>
    <col min="1793" max="1793" width="4.140625" style="1" customWidth="1"/>
    <col min="1794" max="1794" width="3.85546875" style="1" customWidth="1"/>
    <col min="1795" max="1796" width="10" style="1" customWidth="1"/>
    <col min="1797" max="1797" width="23.28515625" style="1" customWidth="1"/>
    <col min="1798" max="1802" width="10" style="1"/>
    <col min="1803" max="1803" width="18.85546875" style="1" customWidth="1"/>
    <col min="1804" max="2048" width="10" style="1"/>
    <col min="2049" max="2049" width="4.140625" style="1" customWidth="1"/>
    <col min="2050" max="2050" width="3.85546875" style="1" customWidth="1"/>
    <col min="2051" max="2052" width="10" style="1" customWidth="1"/>
    <col min="2053" max="2053" width="23.28515625" style="1" customWidth="1"/>
    <col min="2054" max="2058" width="10" style="1"/>
    <col min="2059" max="2059" width="18.85546875" style="1" customWidth="1"/>
    <col min="2060" max="2304" width="10" style="1"/>
    <col min="2305" max="2305" width="4.140625" style="1" customWidth="1"/>
    <col min="2306" max="2306" width="3.85546875" style="1" customWidth="1"/>
    <col min="2307" max="2308" width="10" style="1" customWidth="1"/>
    <col min="2309" max="2309" width="23.28515625" style="1" customWidth="1"/>
    <col min="2310" max="2314" width="10" style="1"/>
    <col min="2315" max="2315" width="18.85546875" style="1" customWidth="1"/>
    <col min="2316" max="2560" width="10" style="1"/>
    <col min="2561" max="2561" width="4.140625" style="1" customWidth="1"/>
    <col min="2562" max="2562" width="3.85546875" style="1" customWidth="1"/>
    <col min="2563" max="2564" width="10" style="1" customWidth="1"/>
    <col min="2565" max="2565" width="23.28515625" style="1" customWidth="1"/>
    <col min="2566" max="2570" width="10" style="1"/>
    <col min="2571" max="2571" width="18.85546875" style="1" customWidth="1"/>
    <col min="2572" max="2816" width="10" style="1"/>
    <col min="2817" max="2817" width="4.140625" style="1" customWidth="1"/>
    <col min="2818" max="2818" width="3.85546875" style="1" customWidth="1"/>
    <col min="2819" max="2820" width="10" style="1" customWidth="1"/>
    <col min="2821" max="2821" width="23.28515625" style="1" customWidth="1"/>
    <col min="2822" max="2826" width="10" style="1"/>
    <col min="2827" max="2827" width="18.85546875" style="1" customWidth="1"/>
    <col min="2828" max="3072" width="10" style="1"/>
    <col min="3073" max="3073" width="4.140625" style="1" customWidth="1"/>
    <col min="3074" max="3074" width="3.85546875" style="1" customWidth="1"/>
    <col min="3075" max="3076" width="10" style="1" customWidth="1"/>
    <col min="3077" max="3077" width="23.28515625" style="1" customWidth="1"/>
    <col min="3078" max="3082" width="10" style="1"/>
    <col min="3083" max="3083" width="18.85546875" style="1" customWidth="1"/>
    <col min="3084" max="3328" width="10" style="1"/>
    <col min="3329" max="3329" width="4.140625" style="1" customWidth="1"/>
    <col min="3330" max="3330" width="3.85546875" style="1" customWidth="1"/>
    <col min="3331" max="3332" width="10" style="1" customWidth="1"/>
    <col min="3333" max="3333" width="23.28515625" style="1" customWidth="1"/>
    <col min="3334" max="3338" width="10" style="1"/>
    <col min="3339" max="3339" width="18.85546875" style="1" customWidth="1"/>
    <col min="3340" max="3584" width="10" style="1"/>
    <col min="3585" max="3585" width="4.140625" style="1" customWidth="1"/>
    <col min="3586" max="3586" width="3.85546875" style="1" customWidth="1"/>
    <col min="3587" max="3588" width="10" style="1" customWidth="1"/>
    <col min="3589" max="3589" width="23.28515625" style="1" customWidth="1"/>
    <col min="3590" max="3594" width="10" style="1"/>
    <col min="3595" max="3595" width="18.85546875" style="1" customWidth="1"/>
    <col min="3596" max="3840" width="10" style="1"/>
    <col min="3841" max="3841" width="4.140625" style="1" customWidth="1"/>
    <col min="3842" max="3842" width="3.85546875" style="1" customWidth="1"/>
    <col min="3843" max="3844" width="10" style="1" customWidth="1"/>
    <col min="3845" max="3845" width="23.28515625" style="1" customWidth="1"/>
    <col min="3846" max="3850" width="10" style="1"/>
    <col min="3851" max="3851" width="18.85546875" style="1" customWidth="1"/>
    <col min="3852" max="4096" width="10" style="1"/>
    <col min="4097" max="4097" width="4.140625" style="1" customWidth="1"/>
    <col min="4098" max="4098" width="3.85546875" style="1" customWidth="1"/>
    <col min="4099" max="4100" width="10" style="1" customWidth="1"/>
    <col min="4101" max="4101" width="23.28515625" style="1" customWidth="1"/>
    <col min="4102" max="4106" width="10" style="1"/>
    <col min="4107" max="4107" width="18.85546875" style="1" customWidth="1"/>
    <col min="4108" max="4352" width="10" style="1"/>
    <col min="4353" max="4353" width="4.140625" style="1" customWidth="1"/>
    <col min="4354" max="4354" width="3.85546875" style="1" customWidth="1"/>
    <col min="4355" max="4356" width="10" style="1" customWidth="1"/>
    <col min="4357" max="4357" width="23.28515625" style="1" customWidth="1"/>
    <col min="4358" max="4362" width="10" style="1"/>
    <col min="4363" max="4363" width="18.85546875" style="1" customWidth="1"/>
    <col min="4364" max="4608" width="10" style="1"/>
    <col min="4609" max="4609" width="4.140625" style="1" customWidth="1"/>
    <col min="4610" max="4610" width="3.85546875" style="1" customWidth="1"/>
    <col min="4611" max="4612" width="10" style="1" customWidth="1"/>
    <col min="4613" max="4613" width="23.28515625" style="1" customWidth="1"/>
    <col min="4614" max="4618" width="10" style="1"/>
    <col min="4619" max="4619" width="18.85546875" style="1" customWidth="1"/>
    <col min="4620" max="4864" width="10" style="1"/>
    <col min="4865" max="4865" width="4.140625" style="1" customWidth="1"/>
    <col min="4866" max="4866" width="3.85546875" style="1" customWidth="1"/>
    <col min="4867" max="4868" width="10" style="1" customWidth="1"/>
    <col min="4869" max="4869" width="23.28515625" style="1" customWidth="1"/>
    <col min="4870" max="4874" width="10" style="1"/>
    <col min="4875" max="4875" width="18.85546875" style="1" customWidth="1"/>
    <col min="4876" max="5120" width="10" style="1"/>
    <col min="5121" max="5121" width="4.140625" style="1" customWidth="1"/>
    <col min="5122" max="5122" width="3.85546875" style="1" customWidth="1"/>
    <col min="5123" max="5124" width="10" style="1" customWidth="1"/>
    <col min="5125" max="5125" width="23.28515625" style="1" customWidth="1"/>
    <col min="5126" max="5130" width="10" style="1"/>
    <col min="5131" max="5131" width="18.85546875" style="1" customWidth="1"/>
    <col min="5132" max="5376" width="10" style="1"/>
    <col min="5377" max="5377" width="4.140625" style="1" customWidth="1"/>
    <col min="5378" max="5378" width="3.85546875" style="1" customWidth="1"/>
    <col min="5379" max="5380" width="10" style="1" customWidth="1"/>
    <col min="5381" max="5381" width="23.28515625" style="1" customWidth="1"/>
    <col min="5382" max="5386" width="10" style="1"/>
    <col min="5387" max="5387" width="18.85546875" style="1" customWidth="1"/>
    <col min="5388" max="5632" width="10" style="1"/>
    <col min="5633" max="5633" width="4.140625" style="1" customWidth="1"/>
    <col min="5634" max="5634" width="3.85546875" style="1" customWidth="1"/>
    <col min="5635" max="5636" width="10" style="1" customWidth="1"/>
    <col min="5637" max="5637" width="23.28515625" style="1" customWidth="1"/>
    <col min="5638" max="5642" width="10" style="1"/>
    <col min="5643" max="5643" width="18.85546875" style="1" customWidth="1"/>
    <col min="5644" max="5888" width="10" style="1"/>
    <col min="5889" max="5889" width="4.140625" style="1" customWidth="1"/>
    <col min="5890" max="5890" width="3.85546875" style="1" customWidth="1"/>
    <col min="5891" max="5892" width="10" style="1" customWidth="1"/>
    <col min="5893" max="5893" width="23.28515625" style="1" customWidth="1"/>
    <col min="5894" max="5898" width="10" style="1"/>
    <col min="5899" max="5899" width="18.85546875" style="1" customWidth="1"/>
    <col min="5900" max="6144" width="10" style="1"/>
    <col min="6145" max="6145" width="4.140625" style="1" customWidth="1"/>
    <col min="6146" max="6146" width="3.85546875" style="1" customWidth="1"/>
    <col min="6147" max="6148" width="10" style="1" customWidth="1"/>
    <col min="6149" max="6149" width="23.28515625" style="1" customWidth="1"/>
    <col min="6150" max="6154" width="10" style="1"/>
    <col min="6155" max="6155" width="18.85546875" style="1" customWidth="1"/>
    <col min="6156" max="6400" width="10" style="1"/>
    <col min="6401" max="6401" width="4.140625" style="1" customWidth="1"/>
    <col min="6402" max="6402" width="3.85546875" style="1" customWidth="1"/>
    <col min="6403" max="6404" width="10" style="1" customWidth="1"/>
    <col min="6405" max="6405" width="23.28515625" style="1" customWidth="1"/>
    <col min="6406" max="6410" width="10" style="1"/>
    <col min="6411" max="6411" width="18.85546875" style="1" customWidth="1"/>
    <col min="6412" max="6656" width="10" style="1"/>
    <col min="6657" max="6657" width="4.140625" style="1" customWidth="1"/>
    <col min="6658" max="6658" width="3.85546875" style="1" customWidth="1"/>
    <col min="6659" max="6660" width="10" style="1" customWidth="1"/>
    <col min="6661" max="6661" width="23.28515625" style="1" customWidth="1"/>
    <col min="6662" max="6666" width="10" style="1"/>
    <col min="6667" max="6667" width="18.85546875" style="1" customWidth="1"/>
    <col min="6668" max="6912" width="10" style="1"/>
    <col min="6913" max="6913" width="4.140625" style="1" customWidth="1"/>
    <col min="6914" max="6914" width="3.85546875" style="1" customWidth="1"/>
    <col min="6915" max="6916" width="10" style="1" customWidth="1"/>
    <col min="6917" max="6917" width="23.28515625" style="1" customWidth="1"/>
    <col min="6918" max="6922" width="10" style="1"/>
    <col min="6923" max="6923" width="18.85546875" style="1" customWidth="1"/>
    <col min="6924" max="7168" width="10" style="1"/>
    <col min="7169" max="7169" width="4.140625" style="1" customWidth="1"/>
    <col min="7170" max="7170" width="3.85546875" style="1" customWidth="1"/>
    <col min="7171" max="7172" width="10" style="1" customWidth="1"/>
    <col min="7173" max="7173" width="23.28515625" style="1" customWidth="1"/>
    <col min="7174" max="7178" width="10" style="1"/>
    <col min="7179" max="7179" width="18.85546875" style="1" customWidth="1"/>
    <col min="7180" max="7424" width="10" style="1"/>
    <col min="7425" max="7425" width="4.140625" style="1" customWidth="1"/>
    <col min="7426" max="7426" width="3.85546875" style="1" customWidth="1"/>
    <col min="7427" max="7428" width="10" style="1" customWidth="1"/>
    <col min="7429" max="7429" width="23.28515625" style="1" customWidth="1"/>
    <col min="7430" max="7434" width="10" style="1"/>
    <col min="7435" max="7435" width="18.85546875" style="1" customWidth="1"/>
    <col min="7436" max="7680" width="10" style="1"/>
    <col min="7681" max="7681" width="4.140625" style="1" customWidth="1"/>
    <col min="7682" max="7682" width="3.85546875" style="1" customWidth="1"/>
    <col min="7683" max="7684" width="10" style="1" customWidth="1"/>
    <col min="7685" max="7685" width="23.28515625" style="1" customWidth="1"/>
    <col min="7686" max="7690" width="10" style="1"/>
    <col min="7691" max="7691" width="18.85546875" style="1" customWidth="1"/>
    <col min="7692" max="7936" width="10" style="1"/>
    <col min="7937" max="7937" width="4.140625" style="1" customWidth="1"/>
    <col min="7938" max="7938" width="3.85546875" style="1" customWidth="1"/>
    <col min="7939" max="7940" width="10" style="1" customWidth="1"/>
    <col min="7941" max="7941" width="23.28515625" style="1" customWidth="1"/>
    <col min="7942" max="7946" width="10" style="1"/>
    <col min="7947" max="7947" width="18.85546875" style="1" customWidth="1"/>
    <col min="7948" max="8192" width="10" style="1"/>
    <col min="8193" max="8193" width="4.140625" style="1" customWidth="1"/>
    <col min="8194" max="8194" width="3.85546875" style="1" customWidth="1"/>
    <col min="8195" max="8196" width="10" style="1" customWidth="1"/>
    <col min="8197" max="8197" width="23.28515625" style="1" customWidth="1"/>
    <col min="8198" max="8202" width="10" style="1"/>
    <col min="8203" max="8203" width="18.85546875" style="1" customWidth="1"/>
    <col min="8204" max="8448" width="10" style="1"/>
    <col min="8449" max="8449" width="4.140625" style="1" customWidth="1"/>
    <col min="8450" max="8450" width="3.85546875" style="1" customWidth="1"/>
    <col min="8451" max="8452" width="10" style="1" customWidth="1"/>
    <col min="8453" max="8453" width="23.28515625" style="1" customWidth="1"/>
    <col min="8454" max="8458" width="10" style="1"/>
    <col min="8459" max="8459" width="18.85546875" style="1" customWidth="1"/>
    <col min="8460" max="8704" width="10" style="1"/>
    <col min="8705" max="8705" width="4.140625" style="1" customWidth="1"/>
    <col min="8706" max="8706" width="3.85546875" style="1" customWidth="1"/>
    <col min="8707" max="8708" width="10" style="1" customWidth="1"/>
    <col min="8709" max="8709" width="23.28515625" style="1" customWidth="1"/>
    <col min="8710" max="8714" width="10" style="1"/>
    <col min="8715" max="8715" width="18.85546875" style="1" customWidth="1"/>
    <col min="8716" max="8960" width="10" style="1"/>
    <col min="8961" max="8961" width="4.140625" style="1" customWidth="1"/>
    <col min="8962" max="8962" width="3.85546875" style="1" customWidth="1"/>
    <col min="8963" max="8964" width="10" style="1" customWidth="1"/>
    <col min="8965" max="8965" width="23.28515625" style="1" customWidth="1"/>
    <col min="8966" max="8970" width="10" style="1"/>
    <col min="8971" max="8971" width="18.85546875" style="1" customWidth="1"/>
    <col min="8972" max="9216" width="10" style="1"/>
    <col min="9217" max="9217" width="4.140625" style="1" customWidth="1"/>
    <col min="9218" max="9218" width="3.85546875" style="1" customWidth="1"/>
    <col min="9219" max="9220" width="10" style="1" customWidth="1"/>
    <col min="9221" max="9221" width="23.28515625" style="1" customWidth="1"/>
    <col min="9222" max="9226" width="10" style="1"/>
    <col min="9227" max="9227" width="18.85546875" style="1" customWidth="1"/>
    <col min="9228" max="9472" width="10" style="1"/>
    <col min="9473" max="9473" width="4.140625" style="1" customWidth="1"/>
    <col min="9474" max="9474" width="3.85546875" style="1" customWidth="1"/>
    <col min="9475" max="9476" width="10" style="1" customWidth="1"/>
    <col min="9477" max="9477" width="23.28515625" style="1" customWidth="1"/>
    <col min="9478" max="9482" width="10" style="1"/>
    <col min="9483" max="9483" width="18.85546875" style="1" customWidth="1"/>
    <col min="9484" max="9728" width="10" style="1"/>
    <col min="9729" max="9729" width="4.140625" style="1" customWidth="1"/>
    <col min="9730" max="9730" width="3.85546875" style="1" customWidth="1"/>
    <col min="9731" max="9732" width="10" style="1" customWidth="1"/>
    <col min="9733" max="9733" width="23.28515625" style="1" customWidth="1"/>
    <col min="9734" max="9738" width="10" style="1"/>
    <col min="9739" max="9739" width="18.85546875" style="1" customWidth="1"/>
    <col min="9740" max="9984" width="10" style="1"/>
    <col min="9985" max="9985" width="4.140625" style="1" customWidth="1"/>
    <col min="9986" max="9986" width="3.85546875" style="1" customWidth="1"/>
    <col min="9987" max="9988" width="10" style="1" customWidth="1"/>
    <col min="9989" max="9989" width="23.28515625" style="1" customWidth="1"/>
    <col min="9990" max="9994" width="10" style="1"/>
    <col min="9995" max="9995" width="18.85546875" style="1" customWidth="1"/>
    <col min="9996" max="10240" width="10" style="1"/>
    <col min="10241" max="10241" width="4.140625" style="1" customWidth="1"/>
    <col min="10242" max="10242" width="3.85546875" style="1" customWidth="1"/>
    <col min="10243" max="10244" width="10" style="1" customWidth="1"/>
    <col min="10245" max="10245" width="23.28515625" style="1" customWidth="1"/>
    <col min="10246" max="10250" width="10" style="1"/>
    <col min="10251" max="10251" width="18.85546875" style="1" customWidth="1"/>
    <col min="10252" max="10496" width="10" style="1"/>
    <col min="10497" max="10497" width="4.140625" style="1" customWidth="1"/>
    <col min="10498" max="10498" width="3.85546875" style="1" customWidth="1"/>
    <col min="10499" max="10500" width="10" style="1" customWidth="1"/>
    <col min="10501" max="10501" width="23.28515625" style="1" customWidth="1"/>
    <col min="10502" max="10506" width="10" style="1"/>
    <col min="10507" max="10507" width="18.85546875" style="1" customWidth="1"/>
    <col min="10508" max="10752" width="10" style="1"/>
    <col min="10753" max="10753" width="4.140625" style="1" customWidth="1"/>
    <col min="10754" max="10754" width="3.85546875" style="1" customWidth="1"/>
    <col min="10755" max="10756" width="10" style="1" customWidth="1"/>
    <col min="10757" max="10757" width="23.28515625" style="1" customWidth="1"/>
    <col min="10758" max="10762" width="10" style="1"/>
    <col min="10763" max="10763" width="18.85546875" style="1" customWidth="1"/>
    <col min="10764" max="11008" width="10" style="1"/>
    <col min="11009" max="11009" width="4.140625" style="1" customWidth="1"/>
    <col min="11010" max="11010" width="3.85546875" style="1" customWidth="1"/>
    <col min="11011" max="11012" width="10" style="1" customWidth="1"/>
    <col min="11013" max="11013" width="23.28515625" style="1" customWidth="1"/>
    <col min="11014" max="11018" width="10" style="1"/>
    <col min="11019" max="11019" width="18.85546875" style="1" customWidth="1"/>
    <col min="11020" max="11264" width="10" style="1"/>
    <col min="11265" max="11265" width="4.140625" style="1" customWidth="1"/>
    <col min="11266" max="11266" width="3.85546875" style="1" customWidth="1"/>
    <col min="11267" max="11268" width="10" style="1" customWidth="1"/>
    <col min="11269" max="11269" width="23.28515625" style="1" customWidth="1"/>
    <col min="11270" max="11274" width="10" style="1"/>
    <col min="11275" max="11275" width="18.85546875" style="1" customWidth="1"/>
    <col min="11276" max="11520" width="10" style="1"/>
    <col min="11521" max="11521" width="4.140625" style="1" customWidth="1"/>
    <col min="11522" max="11522" width="3.85546875" style="1" customWidth="1"/>
    <col min="11523" max="11524" width="10" style="1" customWidth="1"/>
    <col min="11525" max="11525" width="23.28515625" style="1" customWidth="1"/>
    <col min="11526" max="11530" width="10" style="1"/>
    <col min="11531" max="11531" width="18.85546875" style="1" customWidth="1"/>
    <col min="11532" max="11776" width="10" style="1"/>
    <col min="11777" max="11777" width="4.140625" style="1" customWidth="1"/>
    <col min="11778" max="11778" width="3.85546875" style="1" customWidth="1"/>
    <col min="11779" max="11780" width="10" style="1" customWidth="1"/>
    <col min="11781" max="11781" width="23.28515625" style="1" customWidth="1"/>
    <col min="11782" max="11786" width="10" style="1"/>
    <col min="11787" max="11787" width="18.85546875" style="1" customWidth="1"/>
    <col min="11788" max="12032" width="10" style="1"/>
    <col min="12033" max="12033" width="4.140625" style="1" customWidth="1"/>
    <col min="12034" max="12034" width="3.85546875" style="1" customWidth="1"/>
    <col min="12035" max="12036" width="10" style="1" customWidth="1"/>
    <col min="12037" max="12037" width="23.28515625" style="1" customWidth="1"/>
    <col min="12038" max="12042" width="10" style="1"/>
    <col min="12043" max="12043" width="18.85546875" style="1" customWidth="1"/>
    <col min="12044" max="12288" width="10" style="1"/>
    <col min="12289" max="12289" width="4.140625" style="1" customWidth="1"/>
    <col min="12290" max="12290" width="3.85546875" style="1" customWidth="1"/>
    <col min="12291" max="12292" width="10" style="1" customWidth="1"/>
    <col min="12293" max="12293" width="23.28515625" style="1" customWidth="1"/>
    <col min="12294" max="12298" width="10" style="1"/>
    <col min="12299" max="12299" width="18.85546875" style="1" customWidth="1"/>
    <col min="12300" max="12544" width="10" style="1"/>
    <col min="12545" max="12545" width="4.140625" style="1" customWidth="1"/>
    <col min="12546" max="12546" width="3.85546875" style="1" customWidth="1"/>
    <col min="12547" max="12548" width="10" style="1" customWidth="1"/>
    <col min="12549" max="12549" width="23.28515625" style="1" customWidth="1"/>
    <col min="12550" max="12554" width="10" style="1"/>
    <col min="12555" max="12555" width="18.85546875" style="1" customWidth="1"/>
    <col min="12556" max="12800" width="10" style="1"/>
    <col min="12801" max="12801" width="4.140625" style="1" customWidth="1"/>
    <col min="12802" max="12802" width="3.85546875" style="1" customWidth="1"/>
    <col min="12803" max="12804" width="10" style="1" customWidth="1"/>
    <col min="12805" max="12805" width="23.28515625" style="1" customWidth="1"/>
    <col min="12806" max="12810" width="10" style="1"/>
    <col min="12811" max="12811" width="18.85546875" style="1" customWidth="1"/>
    <col min="12812" max="13056" width="10" style="1"/>
    <col min="13057" max="13057" width="4.140625" style="1" customWidth="1"/>
    <col min="13058" max="13058" width="3.85546875" style="1" customWidth="1"/>
    <col min="13059" max="13060" width="10" style="1" customWidth="1"/>
    <col min="13061" max="13061" width="23.28515625" style="1" customWidth="1"/>
    <col min="13062" max="13066" width="10" style="1"/>
    <col min="13067" max="13067" width="18.85546875" style="1" customWidth="1"/>
    <col min="13068" max="13312" width="10" style="1"/>
    <col min="13313" max="13313" width="4.140625" style="1" customWidth="1"/>
    <col min="13314" max="13314" width="3.85546875" style="1" customWidth="1"/>
    <col min="13315" max="13316" width="10" style="1" customWidth="1"/>
    <col min="13317" max="13317" width="23.28515625" style="1" customWidth="1"/>
    <col min="13318" max="13322" width="10" style="1"/>
    <col min="13323" max="13323" width="18.85546875" style="1" customWidth="1"/>
    <col min="13324" max="13568" width="10" style="1"/>
    <col min="13569" max="13569" width="4.140625" style="1" customWidth="1"/>
    <col min="13570" max="13570" width="3.85546875" style="1" customWidth="1"/>
    <col min="13571" max="13572" width="10" style="1" customWidth="1"/>
    <col min="13573" max="13573" width="23.28515625" style="1" customWidth="1"/>
    <col min="13574" max="13578" width="10" style="1"/>
    <col min="13579" max="13579" width="18.85546875" style="1" customWidth="1"/>
    <col min="13580" max="13824" width="10" style="1"/>
    <col min="13825" max="13825" width="4.140625" style="1" customWidth="1"/>
    <col min="13826" max="13826" width="3.85546875" style="1" customWidth="1"/>
    <col min="13827" max="13828" width="10" style="1" customWidth="1"/>
    <col min="13829" max="13829" width="23.28515625" style="1" customWidth="1"/>
    <col min="13830" max="13834" width="10" style="1"/>
    <col min="13835" max="13835" width="18.85546875" style="1" customWidth="1"/>
    <col min="13836" max="14080" width="10" style="1"/>
    <col min="14081" max="14081" width="4.140625" style="1" customWidth="1"/>
    <col min="14082" max="14082" width="3.85546875" style="1" customWidth="1"/>
    <col min="14083" max="14084" width="10" style="1" customWidth="1"/>
    <col min="14085" max="14085" width="23.28515625" style="1" customWidth="1"/>
    <col min="14086" max="14090" width="10" style="1"/>
    <col min="14091" max="14091" width="18.85546875" style="1" customWidth="1"/>
    <col min="14092" max="14336" width="10" style="1"/>
    <col min="14337" max="14337" width="4.140625" style="1" customWidth="1"/>
    <col min="14338" max="14338" width="3.85546875" style="1" customWidth="1"/>
    <col min="14339" max="14340" width="10" style="1" customWidth="1"/>
    <col min="14341" max="14341" width="23.28515625" style="1" customWidth="1"/>
    <col min="14342" max="14346" width="10" style="1"/>
    <col min="14347" max="14347" width="18.85546875" style="1" customWidth="1"/>
    <col min="14348" max="14592" width="10" style="1"/>
    <col min="14593" max="14593" width="4.140625" style="1" customWidth="1"/>
    <col min="14594" max="14594" width="3.85546875" style="1" customWidth="1"/>
    <col min="14595" max="14596" width="10" style="1" customWidth="1"/>
    <col min="14597" max="14597" width="23.28515625" style="1" customWidth="1"/>
    <col min="14598" max="14602" width="10" style="1"/>
    <col min="14603" max="14603" width="18.85546875" style="1" customWidth="1"/>
    <col min="14604" max="14848" width="10" style="1"/>
    <col min="14849" max="14849" width="4.140625" style="1" customWidth="1"/>
    <col min="14850" max="14850" width="3.85546875" style="1" customWidth="1"/>
    <col min="14851" max="14852" width="10" style="1" customWidth="1"/>
    <col min="14853" max="14853" width="23.28515625" style="1" customWidth="1"/>
    <col min="14854" max="14858" width="10" style="1"/>
    <col min="14859" max="14859" width="18.85546875" style="1" customWidth="1"/>
    <col min="14860" max="15104" width="10" style="1"/>
    <col min="15105" max="15105" width="4.140625" style="1" customWidth="1"/>
    <col min="15106" max="15106" width="3.85546875" style="1" customWidth="1"/>
    <col min="15107" max="15108" width="10" style="1" customWidth="1"/>
    <col min="15109" max="15109" width="23.28515625" style="1" customWidth="1"/>
    <col min="15110" max="15114" width="10" style="1"/>
    <col min="15115" max="15115" width="18.85546875" style="1" customWidth="1"/>
    <col min="15116" max="15360" width="10" style="1"/>
    <col min="15361" max="15361" width="4.140625" style="1" customWidth="1"/>
    <col min="15362" max="15362" width="3.85546875" style="1" customWidth="1"/>
    <col min="15363" max="15364" width="10" style="1" customWidth="1"/>
    <col min="15365" max="15365" width="23.28515625" style="1" customWidth="1"/>
    <col min="15366" max="15370" width="10" style="1"/>
    <col min="15371" max="15371" width="18.85546875" style="1" customWidth="1"/>
    <col min="15372" max="15616" width="10" style="1"/>
    <col min="15617" max="15617" width="4.140625" style="1" customWidth="1"/>
    <col min="15618" max="15618" width="3.85546875" style="1" customWidth="1"/>
    <col min="15619" max="15620" width="10" style="1" customWidth="1"/>
    <col min="15621" max="15621" width="23.28515625" style="1" customWidth="1"/>
    <col min="15622" max="15626" width="10" style="1"/>
    <col min="15627" max="15627" width="18.85546875" style="1" customWidth="1"/>
    <col min="15628" max="15872" width="10" style="1"/>
    <col min="15873" max="15873" width="4.140625" style="1" customWidth="1"/>
    <col min="15874" max="15874" width="3.85546875" style="1" customWidth="1"/>
    <col min="15875" max="15876" width="10" style="1" customWidth="1"/>
    <col min="15877" max="15877" width="23.28515625" style="1" customWidth="1"/>
    <col min="15878" max="15882" width="10" style="1"/>
    <col min="15883" max="15883" width="18.85546875" style="1" customWidth="1"/>
    <col min="15884" max="16128" width="10" style="1"/>
    <col min="16129" max="16129" width="4.140625" style="1" customWidth="1"/>
    <col min="16130" max="16130" width="3.85546875" style="1" customWidth="1"/>
    <col min="16131" max="16132" width="10" style="1" customWidth="1"/>
    <col min="16133" max="16133" width="23.28515625" style="1" customWidth="1"/>
    <col min="16134" max="16138" width="10" style="1"/>
    <col min="16139" max="16139" width="18.85546875" style="1" customWidth="1"/>
    <col min="16140" max="16384" width="10" style="1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5</v>
      </c>
      <c r="B2" s="1">
        <v>1</v>
      </c>
      <c r="C2" s="1" t="s">
        <v>14</v>
      </c>
      <c r="D2" s="2">
        <v>42401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19</v>
      </c>
      <c r="K2" s="1" t="s">
        <v>20</v>
      </c>
    </row>
    <row r="3" spans="1:14" x14ac:dyDescent="0.2">
      <c r="A3" s="1">
        <v>60</v>
      </c>
      <c r="B3" s="1">
        <v>2</v>
      </c>
      <c r="C3" s="1" t="s">
        <v>14</v>
      </c>
      <c r="D3" s="2">
        <v>42401</v>
      </c>
      <c r="E3" s="1" t="s">
        <v>21</v>
      </c>
      <c r="F3" s="1" t="s">
        <v>22</v>
      </c>
      <c r="G3" s="1" t="s">
        <v>23</v>
      </c>
      <c r="H3" s="1" t="s">
        <v>18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4" x14ac:dyDescent="0.2">
      <c r="A4" s="1">
        <v>60</v>
      </c>
      <c r="B4" s="1">
        <v>3</v>
      </c>
      <c r="C4" s="1" t="s">
        <v>14</v>
      </c>
      <c r="D4" s="2">
        <v>42401</v>
      </c>
      <c r="E4" s="1" t="s">
        <v>28</v>
      </c>
      <c r="F4" s="1" t="s">
        <v>29</v>
      </c>
      <c r="G4" s="1" t="s">
        <v>30</v>
      </c>
      <c r="H4" s="1" t="s">
        <v>18</v>
      </c>
      <c r="I4" s="1" t="s">
        <v>24</v>
      </c>
      <c r="J4" s="1" t="s">
        <v>25</v>
      </c>
      <c r="K4" s="1" t="s">
        <v>31</v>
      </c>
      <c r="L4" s="1" t="s">
        <v>32</v>
      </c>
    </row>
    <row r="5" spans="1:14" x14ac:dyDescent="0.2">
      <c r="A5" s="1">
        <v>5</v>
      </c>
      <c r="B5" s="1">
        <v>4</v>
      </c>
      <c r="C5" s="1" t="s">
        <v>14</v>
      </c>
      <c r="D5" s="2">
        <v>42384</v>
      </c>
      <c r="E5" s="1" t="s">
        <v>33</v>
      </c>
      <c r="F5" s="1" t="s">
        <v>34</v>
      </c>
      <c r="G5" s="1" t="s">
        <v>35</v>
      </c>
      <c r="H5" s="1" t="s">
        <v>18</v>
      </c>
      <c r="I5" s="1" t="s">
        <v>19</v>
      </c>
      <c r="J5" s="1" t="s">
        <v>19</v>
      </c>
      <c r="K5" s="1" t="s">
        <v>36</v>
      </c>
      <c r="L5" s="1" t="s">
        <v>37</v>
      </c>
      <c r="M5" s="1" t="s">
        <v>37</v>
      </c>
      <c r="N5" s="1" t="s">
        <v>38</v>
      </c>
    </row>
    <row r="6" spans="1:14" x14ac:dyDescent="0.2">
      <c r="A6" s="1">
        <v>5</v>
      </c>
      <c r="B6" s="1">
        <v>5</v>
      </c>
      <c r="C6" s="1" t="s">
        <v>14</v>
      </c>
      <c r="D6" s="2">
        <v>42401</v>
      </c>
      <c r="E6" s="1" t="s">
        <v>39</v>
      </c>
      <c r="F6" s="1">
        <v>2627020257</v>
      </c>
      <c r="G6" s="1">
        <v>262701001</v>
      </c>
      <c r="H6" s="1" t="s">
        <v>18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37</v>
      </c>
      <c r="N6" s="1" t="s">
        <v>44</v>
      </c>
    </row>
    <row r="7" spans="1:14" x14ac:dyDescent="0.2">
      <c r="A7" s="1">
        <v>60</v>
      </c>
      <c r="B7" s="1">
        <v>6</v>
      </c>
      <c r="C7" s="1" t="s">
        <v>14</v>
      </c>
      <c r="D7" s="2">
        <v>42401</v>
      </c>
      <c r="E7" s="1" t="s">
        <v>45</v>
      </c>
      <c r="F7" s="1">
        <v>261802755026</v>
      </c>
      <c r="H7" s="1" t="s">
        <v>18</v>
      </c>
      <c r="I7" s="1" t="s">
        <v>46</v>
      </c>
      <c r="J7" s="1" t="s">
        <v>25</v>
      </c>
      <c r="K7" s="1" t="s">
        <v>47</v>
      </c>
      <c r="L7" s="1" t="s">
        <v>48</v>
      </c>
      <c r="M7" s="1" t="s">
        <v>37</v>
      </c>
      <c r="N7" s="1" t="s">
        <v>44</v>
      </c>
    </row>
    <row r="8" spans="1:14" x14ac:dyDescent="0.2">
      <c r="A8" s="1">
        <v>68</v>
      </c>
      <c r="B8" s="1">
        <v>7</v>
      </c>
      <c r="C8" s="1" t="s">
        <v>14</v>
      </c>
      <c r="D8" s="2">
        <v>42401</v>
      </c>
      <c r="E8" s="1" t="s">
        <v>49</v>
      </c>
      <c r="F8" s="1" t="str">
        <f>"0917023545"</f>
        <v>0917023545</v>
      </c>
      <c r="G8" s="1" t="str">
        <f>"091701001"</f>
        <v>091701001</v>
      </c>
      <c r="H8" s="1" t="s">
        <v>18</v>
      </c>
      <c r="I8" s="1" t="s">
        <v>50</v>
      </c>
      <c r="L8" s="1" t="s">
        <v>51</v>
      </c>
      <c r="M8" s="1" t="s">
        <v>37</v>
      </c>
      <c r="N8" s="1" t="s">
        <v>52</v>
      </c>
    </row>
    <row r="9" spans="1:14" x14ac:dyDescent="0.2">
      <c r="A9" s="1">
        <v>68</v>
      </c>
      <c r="B9" s="1">
        <v>8</v>
      </c>
      <c r="C9" s="1" t="s">
        <v>14</v>
      </c>
      <c r="D9" s="2">
        <v>42401</v>
      </c>
      <c r="E9" s="1" t="s">
        <v>53</v>
      </c>
      <c r="F9" s="1" t="s">
        <v>54</v>
      </c>
      <c r="G9" s="1" t="s">
        <v>55</v>
      </c>
      <c r="H9" s="1" t="s">
        <v>18</v>
      </c>
      <c r="I9" s="1" t="s">
        <v>50</v>
      </c>
      <c r="L9" s="1" t="s">
        <v>51</v>
      </c>
      <c r="M9" s="1" t="s">
        <v>37</v>
      </c>
      <c r="N9" s="1" t="s">
        <v>56</v>
      </c>
    </row>
    <row r="10" spans="1:14" x14ac:dyDescent="0.2">
      <c r="A10" s="1">
        <v>60</v>
      </c>
      <c r="B10" s="1">
        <v>9</v>
      </c>
      <c r="C10" s="1" t="s">
        <v>14</v>
      </c>
      <c r="D10" s="2">
        <v>42401</v>
      </c>
      <c r="E10" s="1" t="s">
        <v>28</v>
      </c>
      <c r="F10" s="1" t="s">
        <v>29</v>
      </c>
      <c r="G10" s="1" t="s">
        <v>30</v>
      </c>
      <c r="H10" s="1" t="s">
        <v>18</v>
      </c>
      <c r="I10" s="1" t="s">
        <v>24</v>
      </c>
      <c r="J10" s="1" t="s">
        <v>25</v>
      </c>
      <c r="K10" s="1" t="s">
        <v>31</v>
      </c>
      <c r="L10" s="1" t="s">
        <v>32</v>
      </c>
      <c r="M10" s="1" t="s">
        <v>37</v>
      </c>
      <c r="N10" s="1" t="s">
        <v>57</v>
      </c>
    </row>
    <row r="11" spans="1:14" x14ac:dyDescent="0.2">
      <c r="A11" s="1">
        <v>60</v>
      </c>
      <c r="B11" s="1">
        <v>10</v>
      </c>
      <c r="C11" s="1" t="s">
        <v>14</v>
      </c>
      <c r="D11" s="2">
        <v>42401</v>
      </c>
      <c r="E11" s="1" t="s">
        <v>58</v>
      </c>
      <c r="F11" s="1" t="s">
        <v>59</v>
      </c>
      <c r="G11" s="1" t="s">
        <v>30</v>
      </c>
      <c r="H11" s="1" t="s">
        <v>18</v>
      </c>
      <c r="I11" s="1" t="s">
        <v>24</v>
      </c>
      <c r="J11" s="1" t="s">
        <v>25</v>
      </c>
      <c r="K11" s="1" t="s">
        <v>60</v>
      </c>
      <c r="L11" s="1" t="s">
        <v>61</v>
      </c>
      <c r="M11" s="1" t="s">
        <v>37</v>
      </c>
      <c r="N11" s="1" t="s">
        <v>62</v>
      </c>
    </row>
    <row r="12" spans="1:14" x14ac:dyDescent="0.2">
      <c r="A12" s="1">
        <v>68</v>
      </c>
      <c r="B12" s="1">
        <v>11</v>
      </c>
      <c r="C12" s="1" t="s">
        <v>14</v>
      </c>
      <c r="D12" s="2">
        <v>42401</v>
      </c>
      <c r="E12" s="1" t="s">
        <v>63</v>
      </c>
      <c r="F12" s="1" t="str">
        <f>"261800136662"</f>
        <v>261800136662</v>
      </c>
      <c r="H12" s="1" t="s">
        <v>18</v>
      </c>
      <c r="I12" s="1" t="s">
        <v>50</v>
      </c>
      <c r="L12" s="1" t="s">
        <v>51</v>
      </c>
      <c r="M12" s="1" t="s">
        <v>37</v>
      </c>
      <c r="N12" s="1" t="s">
        <v>37</v>
      </c>
    </row>
    <row r="13" spans="1:14" x14ac:dyDescent="0.2">
      <c r="A13" s="1">
        <v>68</v>
      </c>
      <c r="B13" s="1">
        <v>12</v>
      </c>
      <c r="C13" s="1" t="s">
        <v>14</v>
      </c>
      <c r="D13" s="2">
        <v>42401</v>
      </c>
      <c r="E13" s="1" t="s">
        <v>64</v>
      </c>
      <c r="F13" s="1" t="str">
        <f>"261800376350"</f>
        <v>261800376350</v>
      </c>
      <c r="H13" s="1" t="s">
        <v>18</v>
      </c>
      <c r="I13" s="1" t="s">
        <v>50</v>
      </c>
      <c r="L13" s="1" t="s">
        <v>51</v>
      </c>
      <c r="M13" s="1" t="s">
        <v>37</v>
      </c>
      <c r="N13" s="1" t="s">
        <v>37</v>
      </c>
    </row>
    <row r="14" spans="1:14" x14ac:dyDescent="0.2">
      <c r="A14" s="1">
        <v>68</v>
      </c>
      <c r="B14" s="1">
        <v>13</v>
      </c>
      <c r="C14" s="1" t="s">
        <v>14</v>
      </c>
      <c r="D14" s="2">
        <v>42401</v>
      </c>
      <c r="E14" s="1" t="s">
        <v>65</v>
      </c>
      <c r="F14" s="1" t="str">
        <f>"2618012080"</f>
        <v>2618012080</v>
      </c>
      <c r="G14" s="1" t="str">
        <f>"261801001"</f>
        <v>261801001</v>
      </c>
      <c r="H14" s="1" t="s">
        <v>18</v>
      </c>
      <c r="I14" s="1" t="s">
        <v>50</v>
      </c>
      <c r="L14" s="1" t="s">
        <v>51</v>
      </c>
      <c r="M14" s="1" t="s">
        <v>37</v>
      </c>
      <c r="N14" s="1" t="s">
        <v>37</v>
      </c>
    </row>
    <row r="15" spans="1:14" x14ac:dyDescent="0.2">
      <c r="A15" s="1">
        <v>68</v>
      </c>
      <c r="B15" s="1">
        <v>14</v>
      </c>
      <c r="C15" s="1" t="s">
        <v>14</v>
      </c>
      <c r="D15" s="2">
        <v>42401</v>
      </c>
      <c r="E15" s="1" t="s">
        <v>66</v>
      </c>
      <c r="F15" s="1" t="str">
        <f>"2618012210"</f>
        <v>2618012210</v>
      </c>
      <c r="G15" s="1" t="str">
        <f>"261801001"</f>
        <v>261801001</v>
      </c>
      <c r="H15" s="1" t="s">
        <v>18</v>
      </c>
      <c r="I15" s="1" t="s">
        <v>50</v>
      </c>
      <c r="L15" s="1" t="s">
        <v>51</v>
      </c>
      <c r="M15" s="1" t="s">
        <v>37</v>
      </c>
      <c r="N15" s="1" t="s">
        <v>37</v>
      </c>
    </row>
    <row r="16" spans="1:14" x14ac:dyDescent="0.2">
      <c r="A16" s="1">
        <v>68</v>
      </c>
      <c r="B16" s="1">
        <v>15</v>
      </c>
      <c r="C16" s="1" t="s">
        <v>14</v>
      </c>
      <c r="D16" s="2">
        <v>42401</v>
      </c>
      <c r="E16" s="1" t="s">
        <v>67</v>
      </c>
      <c r="F16" s="1" t="str">
        <f>"261801578374"</f>
        <v>261801578374</v>
      </c>
      <c r="H16" s="1" t="s">
        <v>18</v>
      </c>
      <c r="I16" s="1" t="s">
        <v>50</v>
      </c>
      <c r="L16" s="1" t="s">
        <v>51</v>
      </c>
      <c r="M16" s="1" t="s">
        <v>37</v>
      </c>
      <c r="N16" s="1" t="s">
        <v>37</v>
      </c>
    </row>
    <row r="17" spans="1:14" x14ac:dyDescent="0.2">
      <c r="A17" s="1">
        <v>68</v>
      </c>
      <c r="B17" s="1">
        <v>16</v>
      </c>
      <c r="C17" s="1" t="s">
        <v>14</v>
      </c>
      <c r="D17" s="2">
        <v>42401</v>
      </c>
      <c r="E17" s="1" t="s">
        <v>68</v>
      </c>
      <c r="F17" s="1" t="str">
        <f>"261803482396"</f>
        <v>261803482396</v>
      </c>
      <c r="H17" s="1" t="s">
        <v>18</v>
      </c>
      <c r="I17" s="1" t="s">
        <v>50</v>
      </c>
      <c r="L17" s="1" t="s">
        <v>51</v>
      </c>
      <c r="M17" s="1" t="s">
        <v>37</v>
      </c>
      <c r="N17" s="1" t="s">
        <v>37</v>
      </c>
    </row>
    <row r="18" spans="1:14" x14ac:dyDescent="0.2">
      <c r="A18" s="1">
        <v>68</v>
      </c>
      <c r="B18" s="1">
        <v>17</v>
      </c>
      <c r="C18" s="1" t="s">
        <v>14</v>
      </c>
      <c r="D18" s="2">
        <v>42401</v>
      </c>
      <c r="E18" s="1" t="s">
        <v>69</v>
      </c>
      <c r="F18" s="1" t="str">
        <f>"261803962716"</f>
        <v>261803962716</v>
      </c>
      <c r="H18" s="1" t="s">
        <v>18</v>
      </c>
      <c r="I18" s="1" t="s">
        <v>50</v>
      </c>
      <c r="K18" s="1" t="s">
        <v>70</v>
      </c>
      <c r="L18" s="1" t="s">
        <v>51</v>
      </c>
      <c r="M18" s="1" t="s">
        <v>37</v>
      </c>
      <c r="N18" s="1" t="s">
        <v>37</v>
      </c>
    </row>
    <row r="19" spans="1:14" x14ac:dyDescent="0.2">
      <c r="A19" s="1">
        <v>68</v>
      </c>
      <c r="B19" s="1">
        <v>18</v>
      </c>
      <c r="C19" s="1" t="s">
        <v>14</v>
      </c>
      <c r="D19" s="2">
        <v>42401</v>
      </c>
      <c r="E19" s="1" t="s">
        <v>71</v>
      </c>
      <c r="F19" s="1" t="str">
        <f>"261806551344"</f>
        <v>261806551344</v>
      </c>
      <c r="H19" s="1" t="s">
        <v>18</v>
      </c>
      <c r="I19" s="1" t="s">
        <v>50</v>
      </c>
      <c r="L19" s="1" t="s">
        <v>51</v>
      </c>
      <c r="M19" s="1" t="s">
        <v>37</v>
      </c>
      <c r="N19" s="1" t="s">
        <v>37</v>
      </c>
    </row>
    <row r="20" spans="1:14" x14ac:dyDescent="0.2">
      <c r="A20" s="1">
        <v>68</v>
      </c>
      <c r="B20" s="1">
        <v>19</v>
      </c>
      <c r="C20" s="1" t="s">
        <v>14</v>
      </c>
      <c r="D20" s="2">
        <v>42401</v>
      </c>
      <c r="E20" s="1" t="s">
        <v>72</v>
      </c>
      <c r="F20" s="1" t="str">
        <f>"261807151437"</f>
        <v>261807151437</v>
      </c>
      <c r="H20" s="1" t="s">
        <v>18</v>
      </c>
      <c r="I20" s="1" t="s">
        <v>50</v>
      </c>
      <c r="L20" s="1" t="s">
        <v>51</v>
      </c>
      <c r="M20" s="1" t="s">
        <v>37</v>
      </c>
      <c r="N20" s="1" t="s">
        <v>37</v>
      </c>
    </row>
    <row r="21" spans="1:14" x14ac:dyDescent="0.2">
      <c r="A21" s="1">
        <v>68</v>
      </c>
      <c r="B21" s="1">
        <v>20</v>
      </c>
      <c r="C21" s="1" t="s">
        <v>14</v>
      </c>
      <c r="D21" s="2">
        <v>42401</v>
      </c>
      <c r="E21" s="1" t="s">
        <v>73</v>
      </c>
      <c r="F21" s="1" t="str">
        <f>"2618800807"</f>
        <v>2618800807</v>
      </c>
      <c r="G21" s="1" t="str">
        <f>"262601001"</f>
        <v>262601001</v>
      </c>
      <c r="H21" s="1" t="s">
        <v>18</v>
      </c>
      <c r="I21" s="1" t="s">
        <v>50</v>
      </c>
      <c r="K21" s="1" t="s">
        <v>70</v>
      </c>
      <c r="L21" s="1" t="s">
        <v>51</v>
      </c>
      <c r="M21" s="1" t="s">
        <v>37</v>
      </c>
      <c r="N21" s="1" t="s">
        <v>37</v>
      </c>
    </row>
    <row r="22" spans="1:14" x14ac:dyDescent="0.2">
      <c r="A22" s="1">
        <v>68</v>
      </c>
      <c r="B22" s="1">
        <v>21</v>
      </c>
      <c r="C22" s="1" t="s">
        <v>14</v>
      </c>
      <c r="D22" s="2">
        <v>42401</v>
      </c>
      <c r="E22" s="1" t="s">
        <v>74</v>
      </c>
      <c r="F22" s="1" t="str">
        <f>"2618801416"</f>
        <v>2618801416</v>
      </c>
      <c r="G22" s="1" t="str">
        <f>"261801001"</f>
        <v>261801001</v>
      </c>
      <c r="H22" s="1" t="s">
        <v>18</v>
      </c>
      <c r="I22" s="1" t="s">
        <v>50</v>
      </c>
      <c r="L22" s="1" t="s">
        <v>51</v>
      </c>
      <c r="M22" s="1" t="s">
        <v>37</v>
      </c>
      <c r="N22" s="1" t="s">
        <v>37</v>
      </c>
    </row>
    <row r="23" spans="1:14" x14ac:dyDescent="0.2">
      <c r="A23" s="1">
        <v>68</v>
      </c>
      <c r="B23" s="1">
        <v>22</v>
      </c>
      <c r="C23" s="1" t="s">
        <v>14</v>
      </c>
      <c r="D23" s="2">
        <v>42401</v>
      </c>
      <c r="E23" s="1" t="s">
        <v>75</v>
      </c>
      <c r="F23" s="1" t="str">
        <f>"2618801455"</f>
        <v>2618801455</v>
      </c>
      <c r="G23" s="1" t="str">
        <f>"261801001"</f>
        <v>261801001</v>
      </c>
      <c r="H23" s="1" t="s">
        <v>18</v>
      </c>
      <c r="I23" s="1" t="s">
        <v>50</v>
      </c>
      <c r="K23" s="1" t="s">
        <v>76</v>
      </c>
      <c r="L23" s="1" t="s">
        <v>51</v>
      </c>
      <c r="M23" s="1" t="s">
        <v>37</v>
      </c>
      <c r="N23" s="1" t="s">
        <v>37</v>
      </c>
    </row>
    <row r="24" spans="1:14" x14ac:dyDescent="0.2">
      <c r="A24" s="1">
        <v>68</v>
      </c>
      <c r="B24" s="1">
        <v>23</v>
      </c>
      <c r="C24" s="1" t="s">
        <v>14</v>
      </c>
      <c r="D24" s="2">
        <v>42401</v>
      </c>
      <c r="E24" s="1" t="s">
        <v>77</v>
      </c>
      <c r="F24" s="1" t="s">
        <v>78</v>
      </c>
      <c r="G24" s="1" t="s">
        <v>55</v>
      </c>
      <c r="H24" s="1" t="s">
        <v>18</v>
      </c>
      <c r="I24" s="1" t="s">
        <v>50</v>
      </c>
      <c r="K24" s="1" t="s">
        <v>79</v>
      </c>
      <c r="L24" s="1" t="s">
        <v>51</v>
      </c>
      <c r="M24" s="1" t="s">
        <v>37</v>
      </c>
      <c r="N24" s="1" t="s">
        <v>37</v>
      </c>
    </row>
    <row r="25" spans="1:14" x14ac:dyDescent="0.2">
      <c r="A25" s="1">
        <v>68</v>
      </c>
      <c r="B25" s="1">
        <v>24</v>
      </c>
      <c r="C25" s="1" t="s">
        <v>14</v>
      </c>
      <c r="D25" s="2">
        <v>42401</v>
      </c>
      <c r="E25" s="1" t="s">
        <v>80</v>
      </c>
      <c r="F25" s="1" t="s">
        <v>81</v>
      </c>
      <c r="G25" s="1" t="s">
        <v>55</v>
      </c>
      <c r="H25" s="1" t="s">
        <v>18</v>
      </c>
      <c r="I25" s="1" t="s">
        <v>50</v>
      </c>
      <c r="K25" s="1" t="s">
        <v>82</v>
      </c>
      <c r="L25" s="1" t="s">
        <v>51</v>
      </c>
      <c r="M25" s="1" t="s">
        <v>37</v>
      </c>
      <c r="N25" s="1" t="s">
        <v>37</v>
      </c>
    </row>
    <row r="26" spans="1:14" x14ac:dyDescent="0.2">
      <c r="A26" s="1">
        <v>68</v>
      </c>
      <c r="B26" s="1">
        <v>25</v>
      </c>
      <c r="C26" s="1" t="s">
        <v>14</v>
      </c>
      <c r="D26" s="2">
        <v>42401</v>
      </c>
      <c r="E26" s="1" t="s">
        <v>83</v>
      </c>
      <c r="F26" s="1" t="s">
        <v>84</v>
      </c>
      <c r="G26" s="1" t="s">
        <v>55</v>
      </c>
      <c r="H26" s="1" t="s">
        <v>18</v>
      </c>
      <c r="I26" s="1" t="s">
        <v>50</v>
      </c>
      <c r="K26" s="1" t="s">
        <v>85</v>
      </c>
      <c r="L26" s="1" t="s">
        <v>51</v>
      </c>
      <c r="M26" s="1" t="s">
        <v>37</v>
      </c>
      <c r="N26" s="1" t="s">
        <v>37</v>
      </c>
    </row>
    <row r="27" spans="1:14" x14ac:dyDescent="0.2">
      <c r="A27" s="1">
        <v>68</v>
      </c>
      <c r="B27" s="1">
        <v>26</v>
      </c>
      <c r="C27" s="1" t="s">
        <v>14</v>
      </c>
      <c r="D27" s="2">
        <v>42401</v>
      </c>
      <c r="E27" s="1" t="s">
        <v>86</v>
      </c>
      <c r="F27" s="1" t="s">
        <v>87</v>
      </c>
      <c r="G27" s="1" t="s">
        <v>55</v>
      </c>
      <c r="H27" s="1" t="s">
        <v>18</v>
      </c>
      <c r="I27" s="1" t="s">
        <v>50</v>
      </c>
      <c r="K27" s="1" t="s">
        <v>88</v>
      </c>
      <c r="L27" s="1" t="s">
        <v>51</v>
      </c>
      <c r="M27" s="1" t="s">
        <v>37</v>
      </c>
      <c r="N27" s="1" t="s">
        <v>37</v>
      </c>
    </row>
    <row r="28" spans="1:14" x14ac:dyDescent="0.2">
      <c r="A28" s="1">
        <v>68</v>
      </c>
      <c r="B28" s="1">
        <v>27</v>
      </c>
      <c r="C28" s="1" t="s">
        <v>14</v>
      </c>
      <c r="D28" s="2">
        <v>42401</v>
      </c>
      <c r="E28" s="1" t="s">
        <v>89</v>
      </c>
      <c r="F28" s="1" t="s">
        <v>90</v>
      </c>
      <c r="G28" s="1" t="s">
        <v>55</v>
      </c>
      <c r="H28" s="1" t="s">
        <v>18</v>
      </c>
      <c r="I28" s="1" t="s">
        <v>50</v>
      </c>
      <c r="K28" s="1" t="s">
        <v>91</v>
      </c>
      <c r="L28" s="1" t="s">
        <v>51</v>
      </c>
      <c r="M28" s="1" t="s">
        <v>37</v>
      </c>
      <c r="N28" s="1" t="s">
        <v>37</v>
      </c>
    </row>
    <row r="29" spans="1:14" x14ac:dyDescent="0.2">
      <c r="A29" s="1">
        <v>68</v>
      </c>
      <c r="B29" s="1">
        <v>28</v>
      </c>
      <c r="C29" s="1" t="s">
        <v>14</v>
      </c>
      <c r="D29" s="2">
        <v>42401</v>
      </c>
      <c r="E29" s="1" t="s">
        <v>92</v>
      </c>
      <c r="F29" s="1" t="s">
        <v>93</v>
      </c>
      <c r="G29" s="1" t="s">
        <v>55</v>
      </c>
      <c r="H29" s="1" t="s">
        <v>18</v>
      </c>
      <c r="I29" s="1" t="s">
        <v>50</v>
      </c>
      <c r="K29" s="1" t="s">
        <v>94</v>
      </c>
      <c r="L29" s="1" t="s">
        <v>51</v>
      </c>
      <c r="M29" s="1" t="s">
        <v>37</v>
      </c>
      <c r="N29" s="1" t="s">
        <v>37</v>
      </c>
    </row>
    <row r="30" spans="1:14" x14ac:dyDescent="0.2">
      <c r="A30" s="1">
        <v>68</v>
      </c>
      <c r="B30" s="1">
        <v>29</v>
      </c>
      <c r="C30" s="1" t="s">
        <v>14</v>
      </c>
      <c r="D30" s="2">
        <v>42401</v>
      </c>
      <c r="F30" s="1" t="s">
        <v>93</v>
      </c>
      <c r="G30" s="1" t="s">
        <v>55</v>
      </c>
      <c r="H30" s="1" t="s">
        <v>18</v>
      </c>
      <c r="I30" s="1" t="s">
        <v>50</v>
      </c>
      <c r="K30" s="1" t="s">
        <v>85</v>
      </c>
      <c r="L30" s="1" t="s">
        <v>51</v>
      </c>
      <c r="M30" s="1" t="s">
        <v>37</v>
      </c>
      <c r="N30" s="1" t="s">
        <v>37</v>
      </c>
    </row>
    <row r="31" spans="1:14" x14ac:dyDescent="0.2">
      <c r="A31" s="1">
        <v>68</v>
      </c>
      <c r="B31" s="1">
        <v>30</v>
      </c>
      <c r="C31" s="1" t="s">
        <v>14</v>
      </c>
      <c r="D31" s="2">
        <v>42401</v>
      </c>
      <c r="E31" s="1" t="s">
        <v>95</v>
      </c>
      <c r="F31" s="1" t="s">
        <v>96</v>
      </c>
      <c r="G31" s="1" t="s">
        <v>55</v>
      </c>
      <c r="H31" s="1" t="s">
        <v>18</v>
      </c>
      <c r="I31" s="1" t="s">
        <v>50</v>
      </c>
      <c r="K31" s="1" t="s">
        <v>97</v>
      </c>
      <c r="L31" s="1" t="s">
        <v>51</v>
      </c>
      <c r="M31" s="1" t="s">
        <v>37</v>
      </c>
      <c r="N31" s="1" t="s">
        <v>37</v>
      </c>
    </row>
    <row r="32" spans="1:14" x14ac:dyDescent="0.2">
      <c r="A32" s="1">
        <v>68</v>
      </c>
      <c r="B32" s="1">
        <v>31</v>
      </c>
      <c r="C32" s="1" t="s">
        <v>14</v>
      </c>
      <c r="D32" s="2">
        <v>42401</v>
      </c>
      <c r="E32" s="1" t="s">
        <v>98</v>
      </c>
      <c r="F32" s="1" t="s">
        <v>99</v>
      </c>
      <c r="G32" s="1" t="s">
        <v>55</v>
      </c>
      <c r="H32" s="1" t="s">
        <v>18</v>
      </c>
      <c r="I32" s="1" t="s">
        <v>50</v>
      </c>
      <c r="K32" s="1" t="s">
        <v>100</v>
      </c>
      <c r="L32" s="1" t="s">
        <v>51</v>
      </c>
      <c r="M32" s="1" t="s">
        <v>37</v>
      </c>
      <c r="N32" s="1" t="s">
        <v>37</v>
      </c>
    </row>
    <row r="33" spans="1:14" x14ac:dyDescent="0.2">
      <c r="A33" s="1">
        <v>68</v>
      </c>
      <c r="B33" s="1">
        <v>32</v>
      </c>
      <c r="C33" s="1" t="s">
        <v>14</v>
      </c>
      <c r="D33" s="2">
        <v>42401</v>
      </c>
      <c r="F33" s="1" t="s">
        <v>99</v>
      </c>
      <c r="G33" s="1" t="s">
        <v>55</v>
      </c>
      <c r="H33" s="1" t="s">
        <v>18</v>
      </c>
      <c r="I33" s="1" t="s">
        <v>50</v>
      </c>
      <c r="K33" s="1" t="s">
        <v>101</v>
      </c>
      <c r="L33" s="1" t="s">
        <v>51</v>
      </c>
      <c r="M33" s="1" t="s">
        <v>37</v>
      </c>
      <c r="N33" s="1" t="s">
        <v>37</v>
      </c>
    </row>
    <row r="34" spans="1:14" x14ac:dyDescent="0.2">
      <c r="A34" s="1">
        <v>68</v>
      </c>
      <c r="B34" s="1">
        <v>33</v>
      </c>
      <c r="C34" s="1" t="s">
        <v>14</v>
      </c>
      <c r="D34" s="2">
        <v>42401</v>
      </c>
      <c r="E34" s="1" t="s">
        <v>102</v>
      </c>
      <c r="F34" s="1" t="s">
        <v>103</v>
      </c>
      <c r="G34" s="1" t="s">
        <v>55</v>
      </c>
      <c r="H34" s="1" t="s">
        <v>18</v>
      </c>
      <c r="I34" s="1" t="s">
        <v>50</v>
      </c>
      <c r="L34" s="1" t="s">
        <v>51</v>
      </c>
      <c r="M34" s="1" t="s">
        <v>37</v>
      </c>
      <c r="N34" s="1" t="s">
        <v>37</v>
      </c>
    </row>
    <row r="35" spans="1:14" x14ac:dyDescent="0.2">
      <c r="A35" s="1">
        <v>68</v>
      </c>
      <c r="B35" s="1">
        <v>34</v>
      </c>
      <c r="C35" s="1" t="s">
        <v>14</v>
      </c>
      <c r="D35" s="2">
        <v>42401</v>
      </c>
      <c r="E35" s="1" t="s">
        <v>104</v>
      </c>
      <c r="F35" s="1" t="str">
        <f>"2625034215"</f>
        <v>2625034215</v>
      </c>
      <c r="G35" s="1" t="str">
        <f>"262501001"</f>
        <v>262501001</v>
      </c>
      <c r="H35" s="1" t="s">
        <v>18</v>
      </c>
      <c r="I35" s="1" t="s">
        <v>50</v>
      </c>
      <c r="K35" s="1" t="s">
        <v>105</v>
      </c>
      <c r="L35" s="1" t="s">
        <v>51</v>
      </c>
      <c r="M35" s="1" t="s">
        <v>37</v>
      </c>
      <c r="N35" s="1" t="s">
        <v>37</v>
      </c>
    </row>
    <row r="36" spans="1:14" x14ac:dyDescent="0.2">
      <c r="A36" s="1">
        <v>68</v>
      </c>
      <c r="B36" s="1">
        <v>35</v>
      </c>
      <c r="C36" s="1" t="s">
        <v>14</v>
      </c>
      <c r="D36" s="2">
        <v>42401</v>
      </c>
      <c r="E36" s="1" t="s">
        <v>106</v>
      </c>
      <c r="F36" s="1" t="s">
        <v>107</v>
      </c>
      <c r="G36" s="1" t="s">
        <v>55</v>
      </c>
      <c r="H36" s="1" t="s">
        <v>18</v>
      </c>
      <c r="I36" s="1" t="s">
        <v>50</v>
      </c>
      <c r="K36" s="1" t="s">
        <v>108</v>
      </c>
      <c r="L36" s="1" t="s">
        <v>51</v>
      </c>
      <c r="M36" s="1" t="s">
        <v>37</v>
      </c>
      <c r="N36" s="1" t="s">
        <v>37</v>
      </c>
    </row>
    <row r="37" spans="1:14" x14ac:dyDescent="0.2">
      <c r="A37" s="1">
        <v>68</v>
      </c>
      <c r="B37" s="1">
        <v>36</v>
      </c>
      <c r="C37" s="1" t="s">
        <v>14</v>
      </c>
      <c r="D37" s="2">
        <v>42401</v>
      </c>
      <c r="E37" s="1" t="s">
        <v>109</v>
      </c>
      <c r="F37" s="1" t="s">
        <v>110</v>
      </c>
      <c r="G37" s="1" t="s">
        <v>55</v>
      </c>
      <c r="H37" s="1" t="s">
        <v>18</v>
      </c>
      <c r="I37" s="1" t="s">
        <v>50</v>
      </c>
      <c r="K37" s="1" t="s">
        <v>111</v>
      </c>
      <c r="L37" s="1" t="s">
        <v>51</v>
      </c>
      <c r="M37" s="1" t="s">
        <v>37</v>
      </c>
      <c r="N37" s="1" t="s">
        <v>37</v>
      </c>
    </row>
    <row r="38" spans="1:14" x14ac:dyDescent="0.2">
      <c r="A38" s="1">
        <v>68</v>
      </c>
      <c r="B38" s="1">
        <v>37</v>
      </c>
      <c r="C38" s="1" t="s">
        <v>14</v>
      </c>
      <c r="D38" s="2">
        <v>42401</v>
      </c>
      <c r="E38" s="1" t="s">
        <v>112</v>
      </c>
      <c r="F38" s="1" t="s">
        <v>113</v>
      </c>
      <c r="G38" s="1" t="s">
        <v>55</v>
      </c>
      <c r="H38" s="1" t="s">
        <v>18</v>
      </c>
      <c r="I38" s="1" t="s">
        <v>50</v>
      </c>
      <c r="K38" s="1" t="s">
        <v>114</v>
      </c>
      <c r="L38" s="1" t="s">
        <v>51</v>
      </c>
      <c r="M38" s="1" t="s">
        <v>37</v>
      </c>
      <c r="N38" s="1" t="s">
        <v>37</v>
      </c>
    </row>
    <row r="39" spans="1:14" x14ac:dyDescent="0.2">
      <c r="A39" s="1">
        <v>68</v>
      </c>
      <c r="B39" s="1">
        <v>38</v>
      </c>
      <c r="C39" s="1" t="s">
        <v>14</v>
      </c>
      <c r="D39" s="2">
        <v>42401</v>
      </c>
      <c r="F39" s="1" t="s">
        <v>113</v>
      </c>
      <c r="G39" s="1" t="s">
        <v>55</v>
      </c>
      <c r="H39" s="1" t="s">
        <v>18</v>
      </c>
      <c r="I39" s="1" t="s">
        <v>50</v>
      </c>
      <c r="K39" s="1" t="s">
        <v>115</v>
      </c>
      <c r="L39" s="1" t="s">
        <v>51</v>
      </c>
      <c r="M39" s="1" t="s">
        <v>37</v>
      </c>
      <c r="N39" s="1" t="s">
        <v>37</v>
      </c>
    </row>
    <row r="40" spans="1:14" x14ac:dyDescent="0.2">
      <c r="A40" s="1">
        <v>68</v>
      </c>
      <c r="B40" s="1">
        <v>39</v>
      </c>
      <c r="C40" s="1" t="s">
        <v>14</v>
      </c>
      <c r="D40" s="2">
        <v>42401</v>
      </c>
      <c r="E40" s="1" t="s">
        <v>116</v>
      </c>
      <c r="F40" s="1" t="s">
        <v>117</v>
      </c>
      <c r="G40" s="1" t="s">
        <v>55</v>
      </c>
      <c r="H40" s="1" t="s">
        <v>18</v>
      </c>
      <c r="I40" s="1" t="s">
        <v>50</v>
      </c>
      <c r="K40" s="1" t="s">
        <v>118</v>
      </c>
      <c r="L40" s="1" t="s">
        <v>51</v>
      </c>
      <c r="M40" s="1" t="s">
        <v>37</v>
      </c>
      <c r="N40" s="1" t="s">
        <v>37</v>
      </c>
    </row>
    <row r="41" spans="1:14" x14ac:dyDescent="0.2">
      <c r="A41" s="1">
        <v>68</v>
      </c>
      <c r="B41" s="1">
        <v>40</v>
      </c>
      <c r="C41" s="1" t="s">
        <v>14</v>
      </c>
      <c r="D41" s="2">
        <v>42401</v>
      </c>
      <c r="E41" s="1" t="s">
        <v>119</v>
      </c>
      <c r="F41" s="1" t="s">
        <v>120</v>
      </c>
      <c r="G41" s="1" t="s">
        <v>55</v>
      </c>
      <c r="H41" s="1" t="s">
        <v>18</v>
      </c>
      <c r="I41" s="1" t="s">
        <v>50</v>
      </c>
      <c r="K41" s="1" t="s">
        <v>101</v>
      </c>
      <c r="L41" s="1" t="s">
        <v>51</v>
      </c>
      <c r="M41" s="1" t="s">
        <v>37</v>
      </c>
      <c r="N41" s="1" t="s">
        <v>37</v>
      </c>
    </row>
    <row r="42" spans="1:14" x14ac:dyDescent="0.2">
      <c r="A42" s="1">
        <v>68</v>
      </c>
      <c r="B42" s="1">
        <v>41</v>
      </c>
      <c r="C42" s="1" t="s">
        <v>14</v>
      </c>
      <c r="D42" s="2">
        <v>42401</v>
      </c>
      <c r="E42" s="1" t="s">
        <v>121</v>
      </c>
      <c r="F42" s="1" t="s">
        <v>122</v>
      </c>
      <c r="G42" s="1" t="s">
        <v>55</v>
      </c>
      <c r="H42" s="1" t="s">
        <v>18</v>
      </c>
      <c r="I42" s="1" t="s">
        <v>50</v>
      </c>
      <c r="K42" s="1" t="s">
        <v>123</v>
      </c>
      <c r="L42" s="1" t="s">
        <v>51</v>
      </c>
      <c r="M42" s="1" t="s">
        <v>37</v>
      </c>
      <c r="N42" s="1" t="s">
        <v>37</v>
      </c>
    </row>
    <row r="43" spans="1:14" x14ac:dyDescent="0.2">
      <c r="A43" s="1">
        <v>68</v>
      </c>
      <c r="B43" s="1">
        <v>42</v>
      </c>
      <c r="C43" s="1" t="s">
        <v>14</v>
      </c>
      <c r="D43" s="2">
        <v>42401</v>
      </c>
      <c r="E43" s="1" t="s">
        <v>124</v>
      </c>
      <c r="F43" s="1" t="s">
        <v>125</v>
      </c>
      <c r="G43" s="1" t="s">
        <v>55</v>
      </c>
      <c r="H43" s="1" t="s">
        <v>18</v>
      </c>
      <c r="I43" s="1" t="s">
        <v>50</v>
      </c>
      <c r="K43" s="1" t="s">
        <v>126</v>
      </c>
      <c r="L43" s="1" t="s">
        <v>51</v>
      </c>
      <c r="M43" s="1" t="s">
        <v>37</v>
      </c>
      <c r="N43" s="1" t="s">
        <v>37</v>
      </c>
    </row>
    <row r="44" spans="1:14" x14ac:dyDescent="0.2">
      <c r="A44" s="1">
        <v>59</v>
      </c>
      <c r="B44" s="1">
        <v>43</v>
      </c>
      <c r="C44" s="1" t="s">
        <v>127</v>
      </c>
      <c r="D44" s="2">
        <v>42403</v>
      </c>
      <c r="E44" s="1" t="s">
        <v>128</v>
      </c>
      <c r="F44" s="1" t="s">
        <v>129</v>
      </c>
      <c r="G44" s="1" t="s">
        <v>23</v>
      </c>
      <c r="H44" s="1" t="s">
        <v>18</v>
      </c>
      <c r="I44" s="1" t="s">
        <v>130</v>
      </c>
      <c r="J44" s="1" t="s">
        <v>131</v>
      </c>
      <c r="K44" s="1" t="s">
        <v>132</v>
      </c>
      <c r="L44" s="1" t="s">
        <v>133</v>
      </c>
      <c r="M44" s="1" t="s">
        <v>37</v>
      </c>
      <c r="N44" s="1" t="s">
        <v>134</v>
      </c>
    </row>
    <row r="45" spans="1:14" x14ac:dyDescent="0.2">
      <c r="A45" s="1">
        <v>60</v>
      </c>
      <c r="B45" s="1">
        <v>44</v>
      </c>
      <c r="C45" s="1" t="s">
        <v>127</v>
      </c>
      <c r="D45" s="2">
        <v>42403</v>
      </c>
      <c r="E45" s="1" t="s">
        <v>128</v>
      </c>
      <c r="F45" s="1" t="s">
        <v>129</v>
      </c>
      <c r="G45" s="1" t="s">
        <v>23</v>
      </c>
      <c r="H45" s="1" t="s">
        <v>18</v>
      </c>
      <c r="I45" s="1" t="s">
        <v>24</v>
      </c>
      <c r="J45" s="1" t="s">
        <v>25</v>
      </c>
      <c r="K45" s="1" t="s">
        <v>132</v>
      </c>
      <c r="L45" s="1" t="s">
        <v>133</v>
      </c>
      <c r="M45" s="1" t="s">
        <v>37</v>
      </c>
      <c r="N45" s="1" t="s">
        <v>134</v>
      </c>
    </row>
    <row r="46" spans="1:14" x14ac:dyDescent="0.2">
      <c r="A46" s="1">
        <v>5</v>
      </c>
      <c r="B46" s="1">
        <v>45</v>
      </c>
      <c r="C46" s="1" t="s">
        <v>127</v>
      </c>
      <c r="D46" s="2">
        <v>42404</v>
      </c>
      <c r="E46" s="1" t="s">
        <v>135</v>
      </c>
      <c r="F46" s="1" t="s">
        <v>136</v>
      </c>
      <c r="G46" s="1" t="s">
        <v>17</v>
      </c>
      <c r="H46" s="1" t="s">
        <v>18</v>
      </c>
      <c r="I46" s="1" t="s">
        <v>137</v>
      </c>
      <c r="J46" s="1" t="s">
        <v>138</v>
      </c>
      <c r="K46" s="1" t="s">
        <v>139</v>
      </c>
      <c r="L46" s="1" t="s">
        <v>140</v>
      </c>
      <c r="M46" s="1" t="s">
        <v>37</v>
      </c>
      <c r="N46" s="1" t="s">
        <v>134</v>
      </c>
    </row>
    <row r="47" spans="1:14" x14ac:dyDescent="0.2">
      <c r="A47" s="1">
        <v>5</v>
      </c>
      <c r="B47" s="1">
        <v>46</v>
      </c>
      <c r="C47" s="1" t="s">
        <v>127</v>
      </c>
      <c r="D47" s="2">
        <v>42406</v>
      </c>
      <c r="E47" s="1" t="s">
        <v>141</v>
      </c>
      <c r="F47" s="1" t="s">
        <v>142</v>
      </c>
      <c r="H47" s="1" t="s">
        <v>18</v>
      </c>
      <c r="I47" s="1" t="s">
        <v>137</v>
      </c>
      <c r="J47" s="1" t="s">
        <v>143</v>
      </c>
      <c r="K47" s="1" t="s">
        <v>144</v>
      </c>
      <c r="L47" s="1" t="s">
        <v>145</v>
      </c>
      <c r="M47" s="1" t="s">
        <v>37</v>
      </c>
      <c r="N47" s="1" t="s">
        <v>134</v>
      </c>
    </row>
    <row r="48" spans="1:14" x14ac:dyDescent="0.2">
      <c r="A48" s="1">
        <v>5</v>
      </c>
      <c r="B48" s="1">
        <v>47</v>
      </c>
      <c r="C48" s="1" t="s">
        <v>127</v>
      </c>
      <c r="D48" s="2">
        <v>42406</v>
      </c>
      <c r="E48" s="1" t="s">
        <v>146</v>
      </c>
      <c r="F48" s="1" t="s">
        <v>147</v>
      </c>
      <c r="G48" s="1" t="s">
        <v>17</v>
      </c>
      <c r="H48" s="1" t="s">
        <v>18</v>
      </c>
      <c r="I48" s="1" t="s">
        <v>137</v>
      </c>
      <c r="J48" s="1" t="s">
        <v>41</v>
      </c>
      <c r="K48" s="1" t="s">
        <v>148</v>
      </c>
      <c r="L48" s="1" t="s">
        <v>149</v>
      </c>
      <c r="M48" s="1" t="s">
        <v>37</v>
      </c>
      <c r="N48" s="1" t="s">
        <v>134</v>
      </c>
    </row>
    <row r="49" spans="1:14" x14ac:dyDescent="0.2">
      <c r="A49" s="1">
        <v>60</v>
      </c>
      <c r="B49" s="1">
        <v>48</v>
      </c>
      <c r="C49" s="1" t="s">
        <v>127</v>
      </c>
      <c r="D49" s="2">
        <v>42406</v>
      </c>
      <c r="E49" s="1" t="s">
        <v>150</v>
      </c>
      <c r="F49" s="1" t="s">
        <v>151</v>
      </c>
      <c r="H49" s="1" t="s">
        <v>18</v>
      </c>
      <c r="I49" s="1" t="s">
        <v>24</v>
      </c>
      <c r="J49" s="1" t="s">
        <v>152</v>
      </c>
      <c r="K49" s="1" t="s">
        <v>153</v>
      </c>
      <c r="L49" s="1" t="s">
        <v>154</v>
      </c>
      <c r="M49" s="1" t="s">
        <v>37</v>
      </c>
      <c r="N49" s="1" t="s">
        <v>134</v>
      </c>
    </row>
    <row r="50" spans="1:14" x14ac:dyDescent="0.2">
      <c r="A50" s="1">
        <v>5</v>
      </c>
      <c r="B50" s="1">
        <v>49</v>
      </c>
      <c r="C50" s="1" t="s">
        <v>127</v>
      </c>
      <c r="D50" s="2">
        <v>42407</v>
      </c>
      <c r="E50" s="1" t="s">
        <v>155</v>
      </c>
      <c r="F50" s="1" t="s">
        <v>156</v>
      </c>
      <c r="H50" s="1" t="s">
        <v>18</v>
      </c>
      <c r="I50" s="1" t="s">
        <v>137</v>
      </c>
      <c r="J50" s="1" t="s">
        <v>157</v>
      </c>
      <c r="K50" s="1" t="s">
        <v>158</v>
      </c>
      <c r="L50" s="1" t="s">
        <v>159</v>
      </c>
      <c r="M50" s="1" t="s">
        <v>37</v>
      </c>
      <c r="N50" s="1" t="s">
        <v>134</v>
      </c>
    </row>
    <row r="51" spans="1:14" x14ac:dyDescent="0.2">
      <c r="A51" s="1">
        <v>5</v>
      </c>
      <c r="B51" s="1">
        <v>50</v>
      </c>
      <c r="C51" s="1" t="s">
        <v>127</v>
      </c>
      <c r="D51" s="2">
        <v>42407</v>
      </c>
      <c r="E51" s="1" t="s">
        <v>160</v>
      </c>
      <c r="F51" s="1" t="s">
        <v>161</v>
      </c>
      <c r="H51" s="1" t="s">
        <v>18</v>
      </c>
      <c r="I51" s="1" t="s">
        <v>137</v>
      </c>
      <c r="J51" s="1" t="s">
        <v>143</v>
      </c>
      <c r="K51" s="1" t="s">
        <v>162</v>
      </c>
      <c r="L51" s="1" t="s">
        <v>163</v>
      </c>
      <c r="M51" s="1" t="s">
        <v>37</v>
      </c>
      <c r="N51" s="1" t="s">
        <v>134</v>
      </c>
    </row>
    <row r="52" spans="1:14" x14ac:dyDescent="0.2">
      <c r="A52" s="1">
        <v>60</v>
      </c>
      <c r="B52" s="1">
        <v>51</v>
      </c>
      <c r="C52" s="1" t="s">
        <v>127</v>
      </c>
      <c r="D52" s="2">
        <v>42409</v>
      </c>
      <c r="E52" s="1" t="s">
        <v>164</v>
      </c>
      <c r="F52" s="1" t="s">
        <v>165</v>
      </c>
      <c r="G52" s="1" t="s">
        <v>166</v>
      </c>
      <c r="H52" s="1" t="s">
        <v>18</v>
      </c>
      <c r="I52" s="1" t="s">
        <v>24</v>
      </c>
      <c r="J52" s="1" t="s">
        <v>25</v>
      </c>
      <c r="K52" s="1" t="s">
        <v>167</v>
      </c>
      <c r="L52" s="1" t="s">
        <v>168</v>
      </c>
      <c r="M52" s="1" t="s">
        <v>37</v>
      </c>
      <c r="N52" s="1" t="s">
        <v>134</v>
      </c>
    </row>
    <row r="53" spans="1:14" x14ac:dyDescent="0.2">
      <c r="A53" s="1">
        <v>5</v>
      </c>
      <c r="B53" s="1">
        <v>52</v>
      </c>
      <c r="C53" s="1" t="s">
        <v>127</v>
      </c>
      <c r="D53" s="2">
        <v>42410</v>
      </c>
      <c r="E53" s="1" t="s">
        <v>169</v>
      </c>
      <c r="F53" s="1" t="s">
        <v>170</v>
      </c>
      <c r="G53" s="1" t="s">
        <v>171</v>
      </c>
      <c r="H53" s="1" t="s">
        <v>18</v>
      </c>
      <c r="I53" s="1" t="s">
        <v>137</v>
      </c>
      <c r="J53" s="1" t="s">
        <v>41</v>
      </c>
      <c r="K53" s="1" t="s">
        <v>172</v>
      </c>
      <c r="L53" s="1" t="s">
        <v>173</v>
      </c>
      <c r="M53" s="1" t="s">
        <v>37</v>
      </c>
      <c r="N53" s="1" t="s">
        <v>134</v>
      </c>
    </row>
    <row r="54" spans="1:14" x14ac:dyDescent="0.2">
      <c r="A54" s="1">
        <v>60</v>
      </c>
      <c r="B54" s="1">
        <v>53</v>
      </c>
      <c r="C54" s="1" t="s">
        <v>127</v>
      </c>
      <c r="D54" s="2">
        <v>42410</v>
      </c>
      <c r="E54" s="1" t="s">
        <v>174</v>
      </c>
      <c r="F54" s="1" t="s">
        <v>175</v>
      </c>
      <c r="G54" s="1" t="s">
        <v>23</v>
      </c>
      <c r="H54" s="1" t="s">
        <v>18</v>
      </c>
      <c r="I54" s="1" t="s">
        <v>24</v>
      </c>
      <c r="J54" s="1" t="s">
        <v>25</v>
      </c>
      <c r="K54" s="1" t="s">
        <v>176</v>
      </c>
      <c r="L54" s="1" t="s">
        <v>177</v>
      </c>
      <c r="M54" s="1" t="s">
        <v>37</v>
      </c>
      <c r="N54" s="1" t="s">
        <v>134</v>
      </c>
    </row>
    <row r="55" spans="1:14" x14ac:dyDescent="0.2">
      <c r="A55" s="1">
        <v>6</v>
      </c>
      <c r="B55" s="1">
        <v>54</v>
      </c>
      <c r="C55" s="1" t="s">
        <v>178</v>
      </c>
      <c r="D55" s="2">
        <v>42411</v>
      </c>
      <c r="E55" s="1" t="s">
        <v>179</v>
      </c>
      <c r="F55" s="1" t="str">
        <f>"4217136212"</f>
        <v>4217136212</v>
      </c>
      <c r="G55" s="1" t="str">
        <f>"421701001"</f>
        <v>421701001</v>
      </c>
      <c r="H55" s="1" t="s">
        <v>18</v>
      </c>
      <c r="I55" s="1" t="s">
        <v>180</v>
      </c>
      <c r="J55" s="1" t="s">
        <v>181</v>
      </c>
      <c r="K55" s="1" t="s">
        <v>182</v>
      </c>
      <c r="M55" s="1" t="s">
        <v>37</v>
      </c>
      <c r="N55" s="1" t="s">
        <v>134</v>
      </c>
    </row>
    <row r="56" spans="1:14" x14ac:dyDescent="0.2">
      <c r="A56" s="1">
        <v>5</v>
      </c>
      <c r="B56" s="1">
        <v>55</v>
      </c>
      <c r="C56" s="1" t="s">
        <v>127</v>
      </c>
      <c r="D56" s="2">
        <v>42411</v>
      </c>
      <c r="E56" s="1" t="s">
        <v>183</v>
      </c>
      <c r="F56" s="1" t="s">
        <v>184</v>
      </c>
      <c r="G56" s="1" t="s">
        <v>23</v>
      </c>
      <c r="H56" s="1" t="s">
        <v>18</v>
      </c>
      <c r="I56" s="1" t="s">
        <v>137</v>
      </c>
      <c r="J56" s="1" t="s">
        <v>138</v>
      </c>
      <c r="K56" s="1" t="s">
        <v>185</v>
      </c>
      <c r="L56" s="1" t="s">
        <v>186</v>
      </c>
      <c r="M56" s="1" t="s">
        <v>37</v>
      </c>
      <c r="N56" s="1" t="s">
        <v>134</v>
      </c>
    </row>
    <row r="57" spans="1:14" x14ac:dyDescent="0.2">
      <c r="A57" s="1">
        <v>60</v>
      </c>
      <c r="B57" s="1">
        <v>56</v>
      </c>
      <c r="C57" s="1" t="s">
        <v>127</v>
      </c>
      <c r="D57" s="2">
        <v>42411</v>
      </c>
      <c r="E57" s="1" t="s">
        <v>187</v>
      </c>
      <c r="F57" s="1" t="s">
        <v>188</v>
      </c>
      <c r="H57" s="1" t="s">
        <v>18</v>
      </c>
      <c r="I57" s="1" t="s">
        <v>24</v>
      </c>
      <c r="J57" s="1" t="s">
        <v>25</v>
      </c>
      <c r="K57" s="1" t="s">
        <v>189</v>
      </c>
      <c r="L57" s="1" t="s">
        <v>190</v>
      </c>
      <c r="M57" s="1" t="s">
        <v>37</v>
      </c>
      <c r="N57" s="1" t="s">
        <v>134</v>
      </c>
    </row>
    <row r="58" spans="1:14" x14ac:dyDescent="0.2">
      <c r="A58" s="1">
        <v>5</v>
      </c>
      <c r="B58" s="1">
        <v>57</v>
      </c>
      <c r="C58" s="1" t="s">
        <v>178</v>
      </c>
      <c r="D58" s="2">
        <v>42412</v>
      </c>
      <c r="E58" s="1" t="s">
        <v>191</v>
      </c>
      <c r="F58" s="1" t="str">
        <f>"2626001124"</f>
        <v>2626001124</v>
      </c>
      <c r="G58" s="1" t="str">
        <f>"262601001"</f>
        <v>262601001</v>
      </c>
      <c r="H58" s="1" t="s">
        <v>18</v>
      </c>
      <c r="I58" s="1" t="s">
        <v>40</v>
      </c>
      <c r="J58" s="1" t="s">
        <v>41</v>
      </c>
      <c r="K58" s="1" t="s">
        <v>192</v>
      </c>
      <c r="M58" s="1" t="s">
        <v>37</v>
      </c>
      <c r="N58" s="1" t="s">
        <v>134</v>
      </c>
    </row>
    <row r="59" spans="1:14" x14ac:dyDescent="0.2">
      <c r="A59" s="1">
        <v>5</v>
      </c>
      <c r="B59" s="1">
        <v>58</v>
      </c>
      <c r="C59" s="1" t="s">
        <v>127</v>
      </c>
      <c r="D59" s="2">
        <v>42412</v>
      </c>
      <c r="E59" s="1" t="s">
        <v>193</v>
      </c>
      <c r="F59" s="1" t="s">
        <v>194</v>
      </c>
      <c r="G59" s="1" t="s">
        <v>17</v>
      </c>
      <c r="H59" s="1" t="s">
        <v>18</v>
      </c>
      <c r="I59" s="1" t="s">
        <v>137</v>
      </c>
      <c r="J59" s="1" t="s">
        <v>138</v>
      </c>
      <c r="K59" s="1" t="s">
        <v>195</v>
      </c>
      <c r="L59" s="1" t="s">
        <v>196</v>
      </c>
      <c r="M59" s="1" t="s">
        <v>37</v>
      </c>
      <c r="N59" s="1" t="s">
        <v>134</v>
      </c>
    </row>
    <row r="60" spans="1:14" x14ac:dyDescent="0.2">
      <c r="A60" s="1">
        <v>5</v>
      </c>
      <c r="B60" s="1">
        <v>59</v>
      </c>
      <c r="C60" s="1" t="s">
        <v>197</v>
      </c>
      <c r="D60" s="2">
        <v>42413</v>
      </c>
      <c r="E60" s="1" t="s">
        <v>198</v>
      </c>
      <c r="F60" s="1" t="str">
        <f>"2626801931"</f>
        <v>2626801931</v>
      </c>
      <c r="G60" s="1" t="str">
        <f>"262601001"</f>
        <v>262601001</v>
      </c>
      <c r="H60" s="1" t="s">
        <v>18</v>
      </c>
      <c r="I60" s="1" t="s">
        <v>40</v>
      </c>
      <c r="J60" s="1" t="s">
        <v>41</v>
      </c>
      <c r="K60" s="1" t="s">
        <v>199</v>
      </c>
      <c r="M60" s="1" t="s">
        <v>37</v>
      </c>
      <c r="N60" s="1" t="s">
        <v>134</v>
      </c>
    </row>
    <row r="61" spans="1:14" x14ac:dyDescent="0.2">
      <c r="A61" s="1">
        <v>5</v>
      </c>
      <c r="B61" s="1">
        <v>60</v>
      </c>
      <c r="C61" s="1" t="s">
        <v>127</v>
      </c>
      <c r="D61" s="2">
        <v>42413</v>
      </c>
      <c r="E61" s="1" t="s">
        <v>200</v>
      </c>
      <c r="F61" s="1" t="s">
        <v>201</v>
      </c>
      <c r="G61" s="1" t="s">
        <v>202</v>
      </c>
      <c r="H61" s="1" t="s">
        <v>18</v>
      </c>
      <c r="I61" s="1" t="s">
        <v>137</v>
      </c>
      <c r="J61" s="1" t="s">
        <v>41</v>
      </c>
      <c r="K61" s="1" t="s">
        <v>203</v>
      </c>
      <c r="L61" s="1" t="s">
        <v>204</v>
      </c>
      <c r="M61" s="1" t="s">
        <v>37</v>
      </c>
      <c r="N61" s="1" t="s">
        <v>134</v>
      </c>
    </row>
    <row r="62" spans="1:14" x14ac:dyDescent="0.2">
      <c r="A62" s="1">
        <v>5</v>
      </c>
      <c r="B62" s="1">
        <v>61</v>
      </c>
      <c r="C62" s="1" t="s">
        <v>197</v>
      </c>
      <c r="D62" s="2">
        <v>42414</v>
      </c>
      <c r="E62" s="1" t="s">
        <v>205</v>
      </c>
      <c r="F62" s="1" t="str">
        <f>"2626032700"</f>
        <v>2626032700</v>
      </c>
      <c r="G62" s="1" t="str">
        <f>"262601001"</f>
        <v>262601001</v>
      </c>
      <c r="H62" s="1" t="s">
        <v>18</v>
      </c>
      <c r="I62" s="1" t="s">
        <v>40</v>
      </c>
      <c r="J62" s="1" t="s">
        <v>206</v>
      </c>
      <c r="K62" s="1" t="s">
        <v>207</v>
      </c>
      <c r="M62" s="1" t="s">
        <v>37</v>
      </c>
      <c r="N62" s="1" t="s">
        <v>134</v>
      </c>
    </row>
    <row r="63" spans="1:14" x14ac:dyDescent="0.2">
      <c r="A63" s="1">
        <v>59</v>
      </c>
      <c r="B63" s="1">
        <v>62</v>
      </c>
      <c r="C63" s="1" t="s">
        <v>127</v>
      </c>
      <c r="D63" s="2">
        <v>42416</v>
      </c>
      <c r="E63" s="1" t="s">
        <v>208</v>
      </c>
      <c r="F63" s="1" t="s">
        <v>209</v>
      </c>
      <c r="G63" s="1" t="s">
        <v>17</v>
      </c>
      <c r="H63" s="1" t="s">
        <v>18</v>
      </c>
      <c r="I63" s="1" t="s">
        <v>130</v>
      </c>
      <c r="J63" s="1" t="s">
        <v>131</v>
      </c>
      <c r="K63" s="1" t="s">
        <v>210</v>
      </c>
      <c r="L63" s="1" t="s">
        <v>211</v>
      </c>
      <c r="M63" s="1" t="s">
        <v>37</v>
      </c>
      <c r="N63" s="1" t="s">
        <v>134</v>
      </c>
    </row>
    <row r="64" spans="1:14" x14ac:dyDescent="0.2">
      <c r="A64" s="1">
        <v>59</v>
      </c>
      <c r="B64" s="1">
        <v>63</v>
      </c>
      <c r="C64" s="1" t="s">
        <v>127</v>
      </c>
      <c r="D64" s="2">
        <v>42416</v>
      </c>
      <c r="E64" s="1" t="s">
        <v>212</v>
      </c>
      <c r="F64" s="1" t="s">
        <v>213</v>
      </c>
      <c r="G64" s="1" t="s">
        <v>17</v>
      </c>
      <c r="H64" s="1" t="s">
        <v>18</v>
      </c>
      <c r="I64" s="1" t="s">
        <v>130</v>
      </c>
      <c r="J64" s="1" t="s">
        <v>131</v>
      </c>
      <c r="K64" s="1" t="s">
        <v>210</v>
      </c>
      <c r="L64" s="1" t="s">
        <v>214</v>
      </c>
      <c r="M64" s="1" t="s">
        <v>37</v>
      </c>
      <c r="N64" s="1" t="s">
        <v>134</v>
      </c>
    </row>
    <row r="65" spans="1:14" x14ac:dyDescent="0.2">
      <c r="A65" s="1">
        <v>60</v>
      </c>
      <c r="B65" s="1">
        <v>64</v>
      </c>
      <c r="C65" s="1" t="s">
        <v>127</v>
      </c>
      <c r="D65" s="2">
        <v>42416</v>
      </c>
      <c r="E65" s="1" t="s">
        <v>208</v>
      </c>
      <c r="F65" s="1" t="s">
        <v>209</v>
      </c>
      <c r="G65" s="1" t="s">
        <v>17</v>
      </c>
      <c r="H65" s="1" t="s">
        <v>18</v>
      </c>
      <c r="I65" s="1" t="s">
        <v>24</v>
      </c>
      <c r="J65" s="1" t="s">
        <v>25</v>
      </c>
      <c r="K65" s="1" t="s">
        <v>210</v>
      </c>
      <c r="L65" s="1" t="s">
        <v>211</v>
      </c>
      <c r="M65" s="1" t="s">
        <v>37</v>
      </c>
      <c r="N65" s="1" t="s">
        <v>134</v>
      </c>
    </row>
    <row r="66" spans="1:14" x14ac:dyDescent="0.2">
      <c r="A66" s="1">
        <v>60</v>
      </c>
      <c r="B66" s="1">
        <v>65</v>
      </c>
      <c r="C66" s="1" t="s">
        <v>127</v>
      </c>
      <c r="D66" s="2">
        <v>42416</v>
      </c>
      <c r="E66" s="1" t="s">
        <v>212</v>
      </c>
      <c r="F66" s="1" t="s">
        <v>213</v>
      </c>
      <c r="G66" s="1" t="s">
        <v>17</v>
      </c>
      <c r="H66" s="1" t="s">
        <v>18</v>
      </c>
      <c r="I66" s="1" t="s">
        <v>24</v>
      </c>
      <c r="J66" s="1" t="s">
        <v>25</v>
      </c>
      <c r="K66" s="1" t="s">
        <v>210</v>
      </c>
      <c r="L66" s="1" t="s">
        <v>214</v>
      </c>
      <c r="M66" s="1" t="s">
        <v>37</v>
      </c>
      <c r="N66" s="1" t="s">
        <v>134</v>
      </c>
    </row>
    <row r="67" spans="1:14" x14ac:dyDescent="0.2">
      <c r="A67" s="1">
        <v>60</v>
      </c>
      <c r="B67" s="1">
        <v>66</v>
      </c>
      <c r="C67" s="1" t="s">
        <v>127</v>
      </c>
      <c r="D67" s="2">
        <v>42416</v>
      </c>
      <c r="E67" s="1" t="s">
        <v>215</v>
      </c>
      <c r="F67" s="1" t="s">
        <v>216</v>
      </c>
      <c r="H67" s="1" t="s">
        <v>18</v>
      </c>
      <c r="I67" s="1" t="s">
        <v>24</v>
      </c>
      <c r="J67" s="1" t="s">
        <v>25</v>
      </c>
      <c r="K67" s="1" t="s">
        <v>217</v>
      </c>
      <c r="L67" s="1" t="s">
        <v>218</v>
      </c>
      <c r="M67" s="1" t="s">
        <v>37</v>
      </c>
      <c r="N67" s="1" t="s">
        <v>134</v>
      </c>
    </row>
    <row r="68" spans="1:14" x14ac:dyDescent="0.2">
      <c r="A68" s="1">
        <v>5</v>
      </c>
      <c r="B68" s="1">
        <v>67</v>
      </c>
      <c r="C68" s="1" t="s">
        <v>197</v>
      </c>
      <c r="D68" s="2">
        <v>42417</v>
      </c>
      <c r="E68" s="1" t="s">
        <v>219</v>
      </c>
      <c r="F68" s="1" t="str">
        <f>"2626014606"</f>
        <v>2626014606</v>
      </c>
      <c r="G68" s="1" t="str">
        <f>"262601001"</f>
        <v>262601001</v>
      </c>
      <c r="H68" s="1" t="s">
        <v>18</v>
      </c>
      <c r="I68" s="1" t="s">
        <v>40</v>
      </c>
      <c r="J68" s="1" t="s">
        <v>138</v>
      </c>
      <c r="K68" s="1" t="s">
        <v>220</v>
      </c>
      <c r="M68" s="1" t="s">
        <v>37</v>
      </c>
      <c r="N68" s="1" t="s">
        <v>134</v>
      </c>
    </row>
    <row r="69" spans="1:14" x14ac:dyDescent="0.2">
      <c r="A69" s="1">
        <v>5</v>
      </c>
      <c r="B69" s="1">
        <v>68</v>
      </c>
      <c r="C69" s="1" t="s">
        <v>127</v>
      </c>
      <c r="D69" s="2">
        <v>42417</v>
      </c>
      <c r="E69" s="1" t="s">
        <v>221</v>
      </c>
      <c r="F69" s="1" t="s">
        <v>222</v>
      </c>
      <c r="G69" s="1" t="s">
        <v>17</v>
      </c>
      <c r="H69" s="1" t="s">
        <v>18</v>
      </c>
      <c r="I69" s="1" t="s">
        <v>137</v>
      </c>
      <c r="J69" s="1" t="s">
        <v>41</v>
      </c>
      <c r="K69" s="1" t="s">
        <v>223</v>
      </c>
      <c r="L69" s="1" t="s">
        <v>224</v>
      </c>
      <c r="M69" s="1" t="s">
        <v>37</v>
      </c>
      <c r="N69" s="1" t="s">
        <v>134</v>
      </c>
    </row>
    <row r="70" spans="1:14" x14ac:dyDescent="0.2">
      <c r="A70" s="1">
        <v>5</v>
      </c>
      <c r="B70" s="1">
        <v>69</v>
      </c>
      <c r="C70" s="1" t="s">
        <v>197</v>
      </c>
      <c r="D70" s="2">
        <v>42418</v>
      </c>
      <c r="E70" s="1" t="s">
        <v>225</v>
      </c>
      <c r="F70" s="1" t="str">
        <f>"262800710053"</f>
        <v>262800710053</v>
      </c>
      <c r="G70" s="1" t="str">
        <f>""</f>
        <v/>
      </c>
      <c r="H70" s="1" t="s">
        <v>18</v>
      </c>
      <c r="I70" s="1" t="s">
        <v>40</v>
      </c>
      <c r="J70" s="1" t="s">
        <v>138</v>
      </c>
      <c r="K70" s="1" t="s">
        <v>226</v>
      </c>
      <c r="M70" s="1" t="s">
        <v>37</v>
      </c>
      <c r="N70" s="1" t="s">
        <v>134</v>
      </c>
    </row>
    <row r="71" spans="1:14" x14ac:dyDescent="0.2">
      <c r="A71" s="1">
        <v>59</v>
      </c>
      <c r="B71" s="1">
        <v>70</v>
      </c>
      <c r="C71" s="1" t="s">
        <v>127</v>
      </c>
      <c r="D71" s="2">
        <v>42418</v>
      </c>
      <c r="E71" s="1" t="s">
        <v>227</v>
      </c>
      <c r="F71" s="1" t="s">
        <v>228</v>
      </c>
      <c r="H71" s="1" t="s">
        <v>18</v>
      </c>
      <c r="I71" s="1" t="s">
        <v>130</v>
      </c>
      <c r="J71" s="1" t="s">
        <v>131</v>
      </c>
      <c r="K71" s="1" t="s">
        <v>229</v>
      </c>
      <c r="L71" s="1" t="s">
        <v>230</v>
      </c>
      <c r="M71" s="1" t="s">
        <v>37</v>
      </c>
      <c r="N71" s="1" t="s">
        <v>134</v>
      </c>
    </row>
    <row r="72" spans="1:14" x14ac:dyDescent="0.2">
      <c r="A72" s="1">
        <v>60</v>
      </c>
      <c r="B72" s="1">
        <v>71</v>
      </c>
      <c r="C72" s="1" t="s">
        <v>127</v>
      </c>
      <c r="D72" s="2">
        <v>42418</v>
      </c>
      <c r="E72" s="1" t="s">
        <v>231</v>
      </c>
      <c r="F72" s="1" t="s">
        <v>232</v>
      </c>
      <c r="G72" s="1" t="s">
        <v>23</v>
      </c>
      <c r="H72" s="1" t="s">
        <v>18</v>
      </c>
      <c r="I72" s="1" t="s">
        <v>24</v>
      </c>
      <c r="J72" s="1" t="s">
        <v>25</v>
      </c>
      <c r="K72" s="1" t="s">
        <v>233</v>
      </c>
      <c r="L72" s="1" t="s">
        <v>234</v>
      </c>
      <c r="M72" s="1" t="s">
        <v>37</v>
      </c>
      <c r="N72" s="1" t="s">
        <v>134</v>
      </c>
    </row>
    <row r="73" spans="1:14" x14ac:dyDescent="0.2">
      <c r="A73" s="1">
        <v>60</v>
      </c>
      <c r="B73" s="1">
        <v>72</v>
      </c>
      <c r="C73" s="1" t="s">
        <v>127</v>
      </c>
      <c r="D73" s="2">
        <v>42418</v>
      </c>
      <c r="E73" s="1" t="s">
        <v>235</v>
      </c>
      <c r="F73" s="1" t="s">
        <v>236</v>
      </c>
      <c r="G73" s="1" t="s">
        <v>17</v>
      </c>
      <c r="H73" s="1" t="s">
        <v>18</v>
      </c>
      <c r="I73" s="1" t="s">
        <v>24</v>
      </c>
      <c r="J73" s="1" t="s">
        <v>25</v>
      </c>
      <c r="K73" s="1" t="s">
        <v>237</v>
      </c>
      <c r="L73" s="1" t="s">
        <v>238</v>
      </c>
      <c r="M73" s="1" t="s">
        <v>37</v>
      </c>
      <c r="N73" s="1" t="s">
        <v>134</v>
      </c>
    </row>
    <row r="74" spans="1:14" x14ac:dyDescent="0.2">
      <c r="A74" s="1">
        <v>60</v>
      </c>
      <c r="B74" s="1">
        <v>73</v>
      </c>
      <c r="C74" s="1" t="s">
        <v>127</v>
      </c>
      <c r="D74" s="2">
        <v>42418</v>
      </c>
      <c r="E74" s="1" t="s">
        <v>239</v>
      </c>
      <c r="F74" s="1" t="s">
        <v>240</v>
      </c>
      <c r="G74" s="1" t="s">
        <v>241</v>
      </c>
      <c r="H74" s="1" t="s">
        <v>18</v>
      </c>
      <c r="I74" s="1" t="s">
        <v>24</v>
      </c>
      <c r="J74" s="1" t="s">
        <v>25</v>
      </c>
      <c r="K74" s="1" t="s">
        <v>242</v>
      </c>
      <c r="L74" s="1" t="s">
        <v>243</v>
      </c>
      <c r="M74" s="1" t="s">
        <v>37</v>
      </c>
      <c r="N74" s="1" t="s">
        <v>134</v>
      </c>
    </row>
    <row r="75" spans="1:14" x14ac:dyDescent="0.2">
      <c r="A75" s="1">
        <v>5</v>
      </c>
      <c r="B75" s="1">
        <v>74</v>
      </c>
      <c r="C75" s="1" t="s">
        <v>178</v>
      </c>
      <c r="D75" s="2">
        <v>42419</v>
      </c>
      <c r="E75" s="1" t="s">
        <v>244</v>
      </c>
      <c r="F75" s="1" t="str">
        <f>"2626026150"</f>
        <v>2626026150</v>
      </c>
      <c r="G75" s="1" t="str">
        <f>"262601001"</f>
        <v>262601001</v>
      </c>
      <c r="H75" s="1" t="s">
        <v>18</v>
      </c>
      <c r="I75" s="1" t="s">
        <v>40</v>
      </c>
      <c r="J75" s="1" t="s">
        <v>245</v>
      </c>
      <c r="K75" s="1" t="s">
        <v>246</v>
      </c>
      <c r="M75" s="1" t="s">
        <v>37</v>
      </c>
      <c r="N75" s="1" t="s">
        <v>134</v>
      </c>
    </row>
    <row r="76" spans="1:14" x14ac:dyDescent="0.2">
      <c r="A76" s="1">
        <v>5</v>
      </c>
      <c r="B76" s="1">
        <v>75</v>
      </c>
      <c r="C76" s="1" t="s">
        <v>127</v>
      </c>
      <c r="D76" s="2">
        <v>42419</v>
      </c>
      <c r="E76" s="1" t="s">
        <v>247</v>
      </c>
      <c r="F76" s="1" t="s">
        <v>248</v>
      </c>
      <c r="G76" s="1" t="s">
        <v>249</v>
      </c>
      <c r="H76" s="1" t="s">
        <v>18</v>
      </c>
      <c r="I76" s="1" t="s">
        <v>137</v>
      </c>
      <c r="J76" s="1" t="s">
        <v>245</v>
      </c>
      <c r="K76" s="1" t="s">
        <v>250</v>
      </c>
      <c r="L76" s="1" t="s">
        <v>251</v>
      </c>
      <c r="M76" s="1" t="s">
        <v>37</v>
      </c>
      <c r="N76" s="1" t="s">
        <v>134</v>
      </c>
    </row>
    <row r="77" spans="1:14" x14ac:dyDescent="0.2">
      <c r="A77" s="1">
        <v>60</v>
      </c>
      <c r="B77" s="1">
        <v>76</v>
      </c>
      <c r="C77" s="1" t="s">
        <v>127</v>
      </c>
      <c r="D77" s="2">
        <v>42419</v>
      </c>
      <c r="E77" s="1" t="s">
        <v>252</v>
      </c>
      <c r="F77" s="1" t="s">
        <v>253</v>
      </c>
      <c r="G77" s="1" t="s">
        <v>30</v>
      </c>
      <c r="H77" s="1" t="s">
        <v>18</v>
      </c>
      <c r="I77" s="1" t="s">
        <v>24</v>
      </c>
      <c r="J77" s="1" t="s">
        <v>25</v>
      </c>
      <c r="K77" s="1" t="s">
        <v>254</v>
      </c>
      <c r="L77" s="1" t="s">
        <v>255</v>
      </c>
      <c r="M77" s="1" t="s">
        <v>37</v>
      </c>
      <c r="N77" s="1" t="s">
        <v>134</v>
      </c>
    </row>
    <row r="78" spans="1:14" x14ac:dyDescent="0.2">
      <c r="A78" s="1">
        <v>60</v>
      </c>
      <c r="B78" s="1">
        <v>77</v>
      </c>
      <c r="C78" s="1" t="s">
        <v>127</v>
      </c>
      <c r="D78" s="2">
        <v>42419</v>
      </c>
      <c r="E78" s="1" t="s">
        <v>256</v>
      </c>
      <c r="F78" s="1" t="s">
        <v>257</v>
      </c>
      <c r="H78" s="1" t="s">
        <v>18</v>
      </c>
      <c r="I78" s="1" t="s">
        <v>24</v>
      </c>
      <c r="J78" s="1" t="s">
        <v>25</v>
      </c>
      <c r="K78" s="1" t="s">
        <v>258</v>
      </c>
      <c r="L78" s="1" t="s">
        <v>259</v>
      </c>
      <c r="M78" s="1" t="s">
        <v>37</v>
      </c>
      <c r="N78" s="1" t="s">
        <v>134</v>
      </c>
    </row>
    <row r="79" spans="1:14" x14ac:dyDescent="0.2">
      <c r="A79" s="1">
        <v>60</v>
      </c>
      <c r="B79" s="1">
        <v>78</v>
      </c>
      <c r="C79" s="1" t="s">
        <v>127</v>
      </c>
      <c r="D79" s="2">
        <v>42419</v>
      </c>
      <c r="E79" s="1" t="s">
        <v>260</v>
      </c>
      <c r="F79" s="1" t="s">
        <v>261</v>
      </c>
      <c r="G79" s="1" t="s">
        <v>23</v>
      </c>
      <c r="H79" s="1" t="s">
        <v>18</v>
      </c>
      <c r="I79" s="1" t="s">
        <v>24</v>
      </c>
      <c r="J79" s="1" t="s">
        <v>25</v>
      </c>
      <c r="K79" s="1" t="s">
        <v>262</v>
      </c>
      <c r="L79" s="1" t="s">
        <v>263</v>
      </c>
      <c r="M79" s="1" t="s">
        <v>37</v>
      </c>
      <c r="N79" s="1" t="s">
        <v>134</v>
      </c>
    </row>
    <row r="80" spans="1:14" x14ac:dyDescent="0.2">
      <c r="A80" s="1">
        <v>5</v>
      </c>
      <c r="B80" s="1">
        <v>79</v>
      </c>
      <c r="C80" s="1" t="s">
        <v>127</v>
      </c>
      <c r="D80" s="2">
        <v>42421</v>
      </c>
      <c r="E80" s="1" t="s">
        <v>264</v>
      </c>
      <c r="F80" s="1" t="s">
        <v>265</v>
      </c>
      <c r="G80" s="1" t="s">
        <v>30</v>
      </c>
      <c r="H80" s="1" t="s">
        <v>18</v>
      </c>
      <c r="I80" s="1" t="s">
        <v>137</v>
      </c>
      <c r="J80" s="1" t="s">
        <v>143</v>
      </c>
      <c r="K80" s="1" t="s">
        <v>266</v>
      </c>
      <c r="L80" s="1" t="s">
        <v>267</v>
      </c>
      <c r="M80" s="1" t="s">
        <v>37</v>
      </c>
      <c r="N80" s="1" t="s">
        <v>134</v>
      </c>
    </row>
    <row r="81" spans="1:14" x14ac:dyDescent="0.2">
      <c r="A81" s="1">
        <v>5</v>
      </c>
      <c r="B81" s="1">
        <v>80</v>
      </c>
      <c r="C81" s="1" t="s">
        <v>127</v>
      </c>
      <c r="D81" s="2">
        <v>42421</v>
      </c>
      <c r="E81" s="1" t="s">
        <v>268</v>
      </c>
      <c r="F81" s="1" t="s">
        <v>269</v>
      </c>
      <c r="G81" s="1" t="s">
        <v>17</v>
      </c>
      <c r="H81" s="1" t="s">
        <v>18</v>
      </c>
      <c r="I81" s="1" t="s">
        <v>137</v>
      </c>
      <c r="J81" s="1" t="s">
        <v>138</v>
      </c>
      <c r="K81" s="1" t="s">
        <v>270</v>
      </c>
      <c r="L81" s="1" t="s">
        <v>271</v>
      </c>
      <c r="M81" s="1" t="s">
        <v>37</v>
      </c>
      <c r="N81" s="1" t="s">
        <v>134</v>
      </c>
    </row>
    <row r="82" spans="1:14" x14ac:dyDescent="0.2">
      <c r="A82" s="1">
        <v>5</v>
      </c>
      <c r="B82" s="1">
        <v>81</v>
      </c>
      <c r="C82" s="1" t="s">
        <v>197</v>
      </c>
      <c r="D82" s="2">
        <v>42424</v>
      </c>
      <c r="E82" s="1" t="s">
        <v>272</v>
      </c>
      <c r="F82" s="1" t="str">
        <f>"2632084714"</f>
        <v>2632084714</v>
      </c>
      <c r="G82" s="1" t="str">
        <f>"263201001"</f>
        <v>263201001</v>
      </c>
      <c r="H82" s="1" t="s">
        <v>18</v>
      </c>
      <c r="I82" s="1" t="s">
        <v>40</v>
      </c>
      <c r="J82" s="1" t="s">
        <v>138</v>
      </c>
      <c r="K82" s="1" t="s">
        <v>273</v>
      </c>
      <c r="M82" s="1" t="s">
        <v>37</v>
      </c>
      <c r="N82" s="1" t="s">
        <v>134</v>
      </c>
    </row>
    <row r="83" spans="1:14" x14ac:dyDescent="0.2">
      <c r="A83" s="1">
        <v>60</v>
      </c>
      <c r="B83" s="1">
        <v>82</v>
      </c>
      <c r="C83" s="1" t="s">
        <v>127</v>
      </c>
      <c r="D83" s="2">
        <v>42424</v>
      </c>
      <c r="E83" s="1" t="s">
        <v>274</v>
      </c>
      <c r="F83" s="1" t="s">
        <v>275</v>
      </c>
      <c r="H83" s="1" t="s">
        <v>18</v>
      </c>
      <c r="I83" s="1" t="s">
        <v>24</v>
      </c>
      <c r="J83" s="1" t="s">
        <v>25</v>
      </c>
      <c r="K83" s="1" t="s">
        <v>276</v>
      </c>
      <c r="L83" s="1" t="s">
        <v>277</v>
      </c>
      <c r="M83" s="1" t="s">
        <v>37</v>
      </c>
      <c r="N83" s="1" t="s">
        <v>134</v>
      </c>
    </row>
    <row r="84" spans="1:14" x14ac:dyDescent="0.2">
      <c r="A84" s="1">
        <v>60</v>
      </c>
      <c r="B84" s="1">
        <v>83</v>
      </c>
      <c r="C84" s="1" t="s">
        <v>127</v>
      </c>
      <c r="D84" s="2">
        <v>42424</v>
      </c>
      <c r="E84" s="1" t="s">
        <v>278</v>
      </c>
      <c r="F84" s="1" t="s">
        <v>279</v>
      </c>
      <c r="G84" s="1" t="s">
        <v>280</v>
      </c>
      <c r="H84" s="1" t="s">
        <v>18</v>
      </c>
      <c r="I84" s="1" t="s">
        <v>24</v>
      </c>
      <c r="J84" s="1" t="s">
        <v>25</v>
      </c>
      <c r="K84" s="1" t="s">
        <v>281</v>
      </c>
      <c r="L84" s="1" t="s">
        <v>282</v>
      </c>
      <c r="M84" s="1" t="s">
        <v>37</v>
      </c>
      <c r="N84" s="1" t="s">
        <v>134</v>
      </c>
    </row>
    <row r="85" spans="1:14" x14ac:dyDescent="0.2">
      <c r="A85" s="1">
        <v>59</v>
      </c>
      <c r="B85" s="1">
        <v>84</v>
      </c>
      <c r="C85" s="1" t="s">
        <v>127</v>
      </c>
      <c r="D85" s="2">
        <v>42425</v>
      </c>
      <c r="E85" s="1" t="s">
        <v>283</v>
      </c>
      <c r="F85" s="1" t="s">
        <v>284</v>
      </c>
      <c r="G85" s="1" t="s">
        <v>17</v>
      </c>
      <c r="H85" s="1" t="s">
        <v>18</v>
      </c>
      <c r="I85" s="1" t="s">
        <v>130</v>
      </c>
      <c r="J85" s="1" t="s">
        <v>131</v>
      </c>
      <c r="K85" s="1" t="s">
        <v>285</v>
      </c>
      <c r="L85" s="1" t="s">
        <v>286</v>
      </c>
      <c r="M85" s="1" t="s">
        <v>37</v>
      </c>
      <c r="N85" s="1" t="s">
        <v>134</v>
      </c>
    </row>
    <row r="86" spans="1:14" x14ac:dyDescent="0.2">
      <c r="A86" s="1">
        <v>59</v>
      </c>
      <c r="B86" s="1">
        <v>85</v>
      </c>
      <c r="C86" s="1" t="s">
        <v>127</v>
      </c>
      <c r="D86" s="2">
        <v>42425</v>
      </c>
      <c r="E86" s="1" t="s">
        <v>287</v>
      </c>
      <c r="F86" s="1" t="s">
        <v>288</v>
      </c>
      <c r="G86" s="1" t="s">
        <v>17</v>
      </c>
      <c r="H86" s="1" t="s">
        <v>18</v>
      </c>
      <c r="I86" s="1" t="s">
        <v>130</v>
      </c>
      <c r="J86" s="1" t="s">
        <v>131</v>
      </c>
      <c r="K86" s="1" t="s">
        <v>289</v>
      </c>
      <c r="L86" s="1" t="s">
        <v>290</v>
      </c>
      <c r="M86" s="1" t="s">
        <v>37</v>
      </c>
      <c r="N86" s="1" t="s">
        <v>134</v>
      </c>
    </row>
    <row r="87" spans="1:14" x14ac:dyDescent="0.2">
      <c r="A87" s="1">
        <v>60</v>
      </c>
      <c r="B87" s="1">
        <v>86</v>
      </c>
      <c r="C87" s="1" t="s">
        <v>127</v>
      </c>
      <c r="D87" s="2">
        <v>42425</v>
      </c>
      <c r="E87" s="1" t="s">
        <v>291</v>
      </c>
      <c r="F87" s="1" t="s">
        <v>292</v>
      </c>
      <c r="G87" s="1" t="s">
        <v>249</v>
      </c>
      <c r="H87" s="1" t="s">
        <v>18</v>
      </c>
      <c r="I87" s="1" t="s">
        <v>24</v>
      </c>
      <c r="J87" s="1" t="s">
        <v>152</v>
      </c>
      <c r="K87" s="1" t="s">
        <v>293</v>
      </c>
      <c r="L87" s="1" t="s">
        <v>294</v>
      </c>
      <c r="M87" s="1" t="s">
        <v>37</v>
      </c>
      <c r="N87" s="1" t="s">
        <v>134</v>
      </c>
    </row>
    <row r="88" spans="1:14" x14ac:dyDescent="0.2">
      <c r="A88" s="1">
        <v>60</v>
      </c>
      <c r="B88" s="1">
        <v>87</v>
      </c>
      <c r="C88" s="1" t="s">
        <v>127</v>
      </c>
      <c r="D88" s="2">
        <v>42426</v>
      </c>
      <c r="E88" s="1" t="s">
        <v>295</v>
      </c>
      <c r="F88" s="1" t="s">
        <v>296</v>
      </c>
      <c r="H88" s="1" t="s">
        <v>18</v>
      </c>
      <c r="I88" s="1" t="s">
        <v>24</v>
      </c>
      <c r="J88" s="1" t="s">
        <v>25</v>
      </c>
      <c r="K88" s="1" t="s">
        <v>297</v>
      </c>
      <c r="L88" s="1" t="s">
        <v>298</v>
      </c>
      <c r="M88" s="1" t="s">
        <v>37</v>
      </c>
      <c r="N88" s="1" t="s">
        <v>134</v>
      </c>
    </row>
    <row r="89" spans="1:14" x14ac:dyDescent="0.2">
      <c r="A89" s="1">
        <v>5</v>
      </c>
      <c r="B89" s="1">
        <v>88</v>
      </c>
      <c r="C89" s="1" t="s">
        <v>178</v>
      </c>
      <c r="D89" s="2">
        <v>42427</v>
      </c>
      <c r="E89" s="1" t="s">
        <v>299</v>
      </c>
      <c r="F89" s="1" t="str">
        <f>"2632100677"</f>
        <v>2632100677</v>
      </c>
      <c r="G89" s="1" t="str">
        <f>"262601001"</f>
        <v>262601001</v>
      </c>
      <c r="H89" s="1" t="s">
        <v>18</v>
      </c>
      <c r="I89" s="1" t="s">
        <v>40</v>
      </c>
      <c r="J89" s="1" t="s">
        <v>41</v>
      </c>
      <c r="K89" s="1" t="s">
        <v>300</v>
      </c>
      <c r="M89" s="1" t="s">
        <v>37</v>
      </c>
      <c r="N89" s="1" t="s">
        <v>134</v>
      </c>
    </row>
    <row r="90" spans="1:14" x14ac:dyDescent="0.2">
      <c r="A90" s="1">
        <v>60</v>
      </c>
      <c r="B90" s="1">
        <v>89</v>
      </c>
      <c r="C90" s="1" t="s">
        <v>127</v>
      </c>
      <c r="D90" s="2">
        <v>42427</v>
      </c>
      <c r="E90" s="1" t="s">
        <v>301</v>
      </c>
      <c r="F90" s="1" t="s">
        <v>302</v>
      </c>
      <c r="G90" s="1" t="s">
        <v>23</v>
      </c>
      <c r="H90" s="1" t="s">
        <v>18</v>
      </c>
      <c r="I90" s="1" t="s">
        <v>24</v>
      </c>
      <c r="J90" s="1" t="s">
        <v>303</v>
      </c>
      <c r="K90" s="1" t="s">
        <v>304</v>
      </c>
      <c r="L90" s="1" t="s">
        <v>305</v>
      </c>
      <c r="M90" s="1" t="s">
        <v>37</v>
      </c>
      <c r="N90" s="1" t="s">
        <v>134</v>
      </c>
    </row>
    <row r="91" spans="1:14" x14ac:dyDescent="0.2">
      <c r="A91" s="1">
        <v>59</v>
      </c>
      <c r="B91" s="1">
        <v>90</v>
      </c>
      <c r="C91" s="1" t="s">
        <v>127</v>
      </c>
      <c r="D91" s="2">
        <v>42427</v>
      </c>
      <c r="E91" s="1" t="s">
        <v>306</v>
      </c>
      <c r="F91" s="1" t="s">
        <v>307</v>
      </c>
      <c r="H91" s="1" t="s">
        <v>18</v>
      </c>
      <c r="I91" s="1" t="s">
        <v>130</v>
      </c>
      <c r="J91" s="1" t="s">
        <v>131</v>
      </c>
      <c r="K91" s="1" t="s">
        <v>308</v>
      </c>
      <c r="L91" s="1" t="s">
        <v>309</v>
      </c>
      <c r="M91" s="1" t="s">
        <v>37</v>
      </c>
      <c r="N91" s="1" t="s">
        <v>134</v>
      </c>
    </row>
    <row r="92" spans="1:14" x14ac:dyDescent="0.2">
      <c r="A92" s="1">
        <v>60</v>
      </c>
      <c r="B92" s="1">
        <v>91</v>
      </c>
      <c r="C92" s="1" t="s">
        <v>127</v>
      </c>
      <c r="D92" s="2">
        <v>42427</v>
      </c>
      <c r="E92" s="1" t="s">
        <v>310</v>
      </c>
      <c r="F92" s="1" t="s">
        <v>311</v>
      </c>
      <c r="G92" s="1" t="s">
        <v>312</v>
      </c>
      <c r="H92" s="1" t="s">
        <v>18</v>
      </c>
      <c r="I92" s="1" t="s">
        <v>24</v>
      </c>
      <c r="J92" s="1" t="s">
        <v>25</v>
      </c>
      <c r="K92" s="1" t="s">
        <v>313</v>
      </c>
      <c r="L92" s="1" t="s">
        <v>314</v>
      </c>
      <c r="M92" s="1" t="s">
        <v>37</v>
      </c>
      <c r="N92" s="1" t="s">
        <v>134</v>
      </c>
    </row>
    <row r="93" spans="1:14" x14ac:dyDescent="0.2">
      <c r="A93" s="1">
        <v>60</v>
      </c>
      <c r="B93" s="1">
        <v>92</v>
      </c>
      <c r="C93" s="1" t="s">
        <v>127</v>
      </c>
      <c r="D93" s="2">
        <v>42427</v>
      </c>
      <c r="E93" s="1" t="s">
        <v>315</v>
      </c>
      <c r="F93" s="1" t="s">
        <v>316</v>
      </c>
      <c r="G93" s="1" t="s">
        <v>17</v>
      </c>
      <c r="H93" s="1" t="s">
        <v>18</v>
      </c>
      <c r="I93" s="1" t="s">
        <v>24</v>
      </c>
      <c r="J93" s="1" t="s">
        <v>152</v>
      </c>
      <c r="K93" s="1" t="s">
        <v>317</v>
      </c>
      <c r="L93" s="1" t="s">
        <v>318</v>
      </c>
      <c r="M93" s="1" t="s">
        <v>37</v>
      </c>
      <c r="N93" s="1" t="s">
        <v>134</v>
      </c>
    </row>
    <row r="94" spans="1:14" x14ac:dyDescent="0.2">
      <c r="A94" s="1">
        <v>59</v>
      </c>
      <c r="B94" s="1">
        <v>93</v>
      </c>
      <c r="C94" s="1" t="s">
        <v>127</v>
      </c>
      <c r="D94" s="2">
        <v>42429</v>
      </c>
      <c r="E94" s="1" t="s">
        <v>319</v>
      </c>
      <c r="F94" s="1" t="s">
        <v>320</v>
      </c>
      <c r="G94" s="1" t="s">
        <v>23</v>
      </c>
      <c r="H94" s="1" t="s">
        <v>18</v>
      </c>
      <c r="I94" s="1" t="s">
        <v>130</v>
      </c>
      <c r="J94" s="1" t="s">
        <v>131</v>
      </c>
      <c r="K94" s="1" t="s">
        <v>321</v>
      </c>
      <c r="L94" s="1" t="s">
        <v>322</v>
      </c>
      <c r="M94" s="1" t="s">
        <v>37</v>
      </c>
      <c r="N94" s="1" t="s">
        <v>134</v>
      </c>
    </row>
    <row r="95" spans="1:14" x14ac:dyDescent="0.2">
      <c r="A95" s="1">
        <v>60</v>
      </c>
      <c r="B95" s="1">
        <v>94</v>
      </c>
      <c r="C95" s="1" t="s">
        <v>127</v>
      </c>
      <c r="D95" s="2">
        <v>42429</v>
      </c>
      <c r="E95" s="1" t="s">
        <v>323</v>
      </c>
      <c r="F95" s="1" t="s">
        <v>324</v>
      </c>
      <c r="H95" s="1" t="s">
        <v>18</v>
      </c>
      <c r="I95" s="1" t="s">
        <v>24</v>
      </c>
      <c r="J95" s="1" t="s">
        <v>25</v>
      </c>
      <c r="K95" s="1" t="s">
        <v>325</v>
      </c>
      <c r="L95" s="1" t="s">
        <v>326</v>
      </c>
      <c r="M95" s="1" t="s">
        <v>37</v>
      </c>
      <c r="N95" s="1" t="s">
        <v>134</v>
      </c>
    </row>
    <row r="96" spans="1:14" x14ac:dyDescent="0.2">
      <c r="A96" s="1">
        <v>59</v>
      </c>
      <c r="B96" s="1">
        <v>95</v>
      </c>
      <c r="C96" s="1" t="s">
        <v>14</v>
      </c>
      <c r="D96" s="2">
        <v>42430</v>
      </c>
      <c r="E96" s="1" t="s">
        <v>327</v>
      </c>
      <c r="F96" s="1">
        <v>263212135263</v>
      </c>
      <c r="H96" s="1" t="s">
        <v>18</v>
      </c>
      <c r="I96" s="1" t="s">
        <v>130</v>
      </c>
      <c r="J96" s="1" t="s">
        <v>131</v>
      </c>
      <c r="M96" s="1" t="s">
        <v>37</v>
      </c>
      <c r="N96" s="1" t="s">
        <v>328</v>
      </c>
    </row>
    <row r="97" spans="1:14" x14ac:dyDescent="0.2">
      <c r="A97" s="1">
        <v>60</v>
      </c>
      <c r="B97" s="1">
        <v>96</v>
      </c>
      <c r="C97" s="1" t="s">
        <v>14</v>
      </c>
      <c r="D97" s="2">
        <v>42430</v>
      </c>
      <c r="E97" s="1" t="s">
        <v>329</v>
      </c>
      <c r="F97" s="1" t="s">
        <v>330</v>
      </c>
      <c r="G97" s="1" t="s">
        <v>331</v>
      </c>
      <c r="H97" s="1" t="s">
        <v>18</v>
      </c>
      <c r="I97" s="1" t="s">
        <v>24</v>
      </c>
      <c r="J97" s="1" t="s">
        <v>25</v>
      </c>
      <c r="K97" s="1" t="s">
        <v>332</v>
      </c>
      <c r="L97" s="1" t="s">
        <v>333</v>
      </c>
      <c r="M97" s="1" t="s">
        <v>37</v>
      </c>
      <c r="N97" s="1" t="s">
        <v>334</v>
      </c>
    </row>
    <row r="98" spans="1:14" x14ac:dyDescent="0.2">
      <c r="A98" s="1">
        <v>5</v>
      </c>
      <c r="B98" s="1">
        <v>97</v>
      </c>
      <c r="C98" s="1" t="s">
        <v>14</v>
      </c>
      <c r="D98" s="2">
        <v>42430</v>
      </c>
      <c r="E98" s="1" t="s">
        <v>15</v>
      </c>
      <c r="F98" s="1" t="s">
        <v>16</v>
      </c>
      <c r="G98" s="1" t="s">
        <v>17</v>
      </c>
      <c r="H98" s="1" t="s">
        <v>18</v>
      </c>
      <c r="I98" s="1" t="s">
        <v>19</v>
      </c>
      <c r="J98" s="1" t="s">
        <v>19</v>
      </c>
      <c r="K98" s="1" t="s">
        <v>20</v>
      </c>
      <c r="M98" s="1" t="s">
        <v>37</v>
      </c>
      <c r="N98" s="1" t="s">
        <v>328</v>
      </c>
    </row>
    <row r="99" spans="1:14" x14ac:dyDescent="0.2">
      <c r="A99" s="1">
        <v>59</v>
      </c>
      <c r="B99" s="1">
        <v>98</v>
      </c>
      <c r="C99" s="1" t="s">
        <v>14</v>
      </c>
      <c r="D99" s="2">
        <v>42430</v>
      </c>
      <c r="E99" s="1" t="s">
        <v>327</v>
      </c>
      <c r="F99" s="1" t="s">
        <v>335</v>
      </c>
      <c r="H99" s="1" t="s">
        <v>18</v>
      </c>
      <c r="I99" s="1" t="s">
        <v>130</v>
      </c>
      <c r="J99" s="1" t="s">
        <v>131</v>
      </c>
      <c r="K99" s="1" t="s">
        <v>327</v>
      </c>
      <c r="L99" s="1" t="s">
        <v>336</v>
      </c>
      <c r="M99" s="1" t="s">
        <v>37</v>
      </c>
      <c r="N99" s="1" t="s">
        <v>328</v>
      </c>
    </row>
    <row r="100" spans="1:14" x14ac:dyDescent="0.2">
      <c r="A100" s="1">
        <v>6</v>
      </c>
      <c r="B100" s="1">
        <v>99</v>
      </c>
      <c r="C100" s="1" t="s">
        <v>337</v>
      </c>
      <c r="D100" s="2">
        <v>42431</v>
      </c>
      <c r="E100" s="1" t="s">
        <v>338</v>
      </c>
      <c r="F100" s="1" t="s">
        <v>339</v>
      </c>
      <c r="G100" s="1" t="s">
        <v>340</v>
      </c>
      <c r="H100" s="1" t="s">
        <v>18</v>
      </c>
      <c r="I100" s="1" t="s">
        <v>341</v>
      </c>
      <c r="J100" s="1" t="s">
        <v>342</v>
      </c>
      <c r="K100" s="1" t="s">
        <v>343</v>
      </c>
      <c r="L100" s="1" t="s">
        <v>344</v>
      </c>
      <c r="M100" s="1" t="s">
        <v>37</v>
      </c>
      <c r="N100" s="1" t="s">
        <v>134</v>
      </c>
    </row>
    <row r="101" spans="1:14" x14ac:dyDescent="0.2">
      <c r="A101" s="1">
        <v>60</v>
      </c>
      <c r="B101" s="1">
        <v>100</v>
      </c>
      <c r="C101" s="1" t="s">
        <v>337</v>
      </c>
      <c r="D101" s="2">
        <v>42432</v>
      </c>
      <c r="E101" s="1" t="s">
        <v>58</v>
      </c>
      <c r="F101" s="1" t="s">
        <v>59</v>
      </c>
      <c r="G101" s="1" t="s">
        <v>30</v>
      </c>
      <c r="H101" s="1" t="s">
        <v>18</v>
      </c>
      <c r="I101" s="1" t="s">
        <v>24</v>
      </c>
      <c r="J101" s="1" t="s">
        <v>25</v>
      </c>
      <c r="K101" s="1" t="s">
        <v>345</v>
      </c>
      <c r="L101" s="1" t="s">
        <v>61</v>
      </c>
      <c r="M101" s="1" t="s">
        <v>37</v>
      </c>
      <c r="N101" s="1" t="s">
        <v>134</v>
      </c>
    </row>
    <row r="102" spans="1:14" x14ac:dyDescent="0.2">
      <c r="A102" s="1">
        <v>5</v>
      </c>
      <c r="B102" s="1">
        <v>101</v>
      </c>
      <c r="C102" s="1" t="s">
        <v>197</v>
      </c>
      <c r="D102" s="2">
        <v>42433</v>
      </c>
      <c r="E102" s="1" t="s">
        <v>346</v>
      </c>
      <c r="F102" s="1" t="str">
        <f>"2618014401"</f>
        <v>2618014401</v>
      </c>
      <c r="G102" s="1" t="str">
        <f>"261801001"</f>
        <v>261801001</v>
      </c>
      <c r="H102" s="1" t="s">
        <v>18</v>
      </c>
      <c r="I102" s="1" t="s">
        <v>40</v>
      </c>
      <c r="J102" s="1" t="s">
        <v>138</v>
      </c>
      <c r="K102" s="1" t="s">
        <v>347</v>
      </c>
      <c r="M102" s="1" t="s">
        <v>37</v>
      </c>
      <c r="N102" s="1" t="s">
        <v>134</v>
      </c>
    </row>
    <row r="103" spans="1:14" x14ac:dyDescent="0.2">
      <c r="A103" s="1">
        <v>5</v>
      </c>
      <c r="B103" s="1">
        <v>102</v>
      </c>
      <c r="C103" s="1" t="s">
        <v>197</v>
      </c>
      <c r="D103" s="2">
        <v>42433</v>
      </c>
      <c r="E103" s="1" t="s">
        <v>348</v>
      </c>
      <c r="F103" s="1" t="str">
        <f>"2632810204"</f>
        <v>2632810204</v>
      </c>
      <c r="G103" s="1" t="str">
        <f>"263201001"</f>
        <v>263201001</v>
      </c>
      <c r="H103" s="1" t="s">
        <v>18</v>
      </c>
      <c r="I103" s="1" t="s">
        <v>40</v>
      </c>
      <c r="J103" s="1" t="s">
        <v>143</v>
      </c>
      <c r="K103" s="1" t="s">
        <v>349</v>
      </c>
      <c r="M103" s="1" t="s">
        <v>37</v>
      </c>
      <c r="N103" s="1" t="s">
        <v>134</v>
      </c>
    </row>
    <row r="104" spans="1:14" x14ac:dyDescent="0.2">
      <c r="A104" s="1">
        <v>59</v>
      </c>
      <c r="B104" s="1">
        <v>103</v>
      </c>
      <c r="C104" s="1" t="s">
        <v>337</v>
      </c>
      <c r="D104" s="2">
        <v>42433</v>
      </c>
      <c r="E104" s="1" t="s">
        <v>350</v>
      </c>
      <c r="F104" s="1" t="s">
        <v>351</v>
      </c>
      <c r="G104" s="1" t="s">
        <v>352</v>
      </c>
      <c r="H104" s="1" t="s">
        <v>18</v>
      </c>
      <c r="I104" s="1" t="s">
        <v>130</v>
      </c>
      <c r="J104" s="1" t="s">
        <v>131</v>
      </c>
      <c r="K104" s="1" t="s">
        <v>353</v>
      </c>
      <c r="L104" s="1" t="s">
        <v>354</v>
      </c>
      <c r="M104" s="1" t="s">
        <v>37</v>
      </c>
      <c r="N104" s="1" t="s">
        <v>134</v>
      </c>
    </row>
    <row r="105" spans="1:14" x14ac:dyDescent="0.2">
      <c r="A105" s="1">
        <v>59</v>
      </c>
      <c r="B105" s="1">
        <v>104</v>
      </c>
      <c r="C105" s="1" t="s">
        <v>337</v>
      </c>
      <c r="D105" s="2">
        <v>42433</v>
      </c>
      <c r="E105" s="1" t="s">
        <v>355</v>
      </c>
      <c r="F105" s="1" t="s">
        <v>356</v>
      </c>
      <c r="H105" s="1" t="s">
        <v>18</v>
      </c>
      <c r="I105" s="1" t="s">
        <v>130</v>
      </c>
      <c r="J105" s="1" t="s">
        <v>357</v>
      </c>
      <c r="K105" s="1" t="s">
        <v>355</v>
      </c>
      <c r="L105" s="1" t="s">
        <v>358</v>
      </c>
      <c r="M105" s="1" t="s">
        <v>37</v>
      </c>
      <c r="N105" s="1" t="s">
        <v>134</v>
      </c>
    </row>
    <row r="106" spans="1:14" x14ac:dyDescent="0.2">
      <c r="A106" s="1">
        <v>60</v>
      </c>
      <c r="B106" s="1">
        <v>105</v>
      </c>
      <c r="C106" s="1" t="s">
        <v>337</v>
      </c>
      <c r="D106" s="2">
        <v>42433</v>
      </c>
      <c r="E106" s="1" t="s">
        <v>350</v>
      </c>
      <c r="F106" s="1" t="s">
        <v>351</v>
      </c>
      <c r="G106" s="1" t="s">
        <v>352</v>
      </c>
      <c r="H106" s="1" t="s">
        <v>18</v>
      </c>
      <c r="I106" s="1" t="s">
        <v>24</v>
      </c>
      <c r="J106" s="1" t="s">
        <v>152</v>
      </c>
      <c r="K106" s="1" t="s">
        <v>353</v>
      </c>
      <c r="L106" s="1" t="s">
        <v>354</v>
      </c>
      <c r="M106" s="1" t="s">
        <v>37</v>
      </c>
      <c r="N106" s="1" t="s">
        <v>134</v>
      </c>
    </row>
    <row r="107" spans="1:14" x14ac:dyDescent="0.2">
      <c r="A107" s="1">
        <v>5</v>
      </c>
      <c r="B107" s="1">
        <v>106</v>
      </c>
      <c r="C107" s="1" t="s">
        <v>337</v>
      </c>
      <c r="D107" s="2">
        <v>42434</v>
      </c>
      <c r="E107" s="1" t="s">
        <v>359</v>
      </c>
      <c r="F107" s="1" t="s">
        <v>360</v>
      </c>
      <c r="G107" s="1" t="s">
        <v>361</v>
      </c>
      <c r="H107" s="1" t="s">
        <v>18</v>
      </c>
      <c r="I107" s="1" t="s">
        <v>19</v>
      </c>
      <c r="J107" s="1" t="s">
        <v>19</v>
      </c>
      <c r="K107" s="1" t="s">
        <v>359</v>
      </c>
      <c r="M107" s="1" t="s">
        <v>37</v>
      </c>
      <c r="N107" s="1" t="s">
        <v>134</v>
      </c>
    </row>
    <row r="108" spans="1:14" x14ac:dyDescent="0.2">
      <c r="A108" s="1">
        <v>59</v>
      </c>
      <c r="B108" s="1">
        <v>107</v>
      </c>
      <c r="C108" s="1" t="s">
        <v>337</v>
      </c>
      <c r="D108" s="2">
        <v>42434</v>
      </c>
      <c r="E108" s="1" t="s">
        <v>362</v>
      </c>
      <c r="F108" s="1" t="s">
        <v>363</v>
      </c>
      <c r="G108" s="1" t="s">
        <v>17</v>
      </c>
      <c r="H108" s="1" t="s">
        <v>18</v>
      </c>
      <c r="I108" s="1" t="s">
        <v>130</v>
      </c>
      <c r="J108" s="1" t="s">
        <v>131</v>
      </c>
      <c r="K108" s="1" t="s">
        <v>364</v>
      </c>
      <c r="L108" s="1" t="s">
        <v>365</v>
      </c>
      <c r="M108" s="1" t="s">
        <v>37</v>
      </c>
      <c r="N108" s="1" t="s">
        <v>134</v>
      </c>
    </row>
    <row r="109" spans="1:14" x14ac:dyDescent="0.2">
      <c r="A109" s="1">
        <v>60</v>
      </c>
      <c r="B109" s="1">
        <v>108</v>
      </c>
      <c r="C109" s="1" t="s">
        <v>337</v>
      </c>
      <c r="D109" s="2">
        <v>42435</v>
      </c>
      <c r="E109" s="1" t="s">
        <v>366</v>
      </c>
      <c r="F109" s="1" t="s">
        <v>367</v>
      </c>
      <c r="G109" s="1" t="s">
        <v>368</v>
      </c>
      <c r="H109" s="1" t="s">
        <v>18</v>
      </c>
      <c r="I109" s="1" t="s">
        <v>24</v>
      </c>
      <c r="J109" s="1" t="s">
        <v>152</v>
      </c>
      <c r="K109" s="1" t="s">
        <v>369</v>
      </c>
      <c r="L109" s="1" t="s">
        <v>370</v>
      </c>
      <c r="M109" s="1" t="s">
        <v>37</v>
      </c>
      <c r="N109" s="1" t="s">
        <v>134</v>
      </c>
    </row>
    <row r="110" spans="1:14" x14ac:dyDescent="0.2">
      <c r="A110" s="1">
        <v>5</v>
      </c>
      <c r="B110" s="1">
        <v>109</v>
      </c>
      <c r="C110" s="1" t="s">
        <v>178</v>
      </c>
      <c r="D110" s="2">
        <v>42436</v>
      </c>
      <c r="E110" s="1" t="s">
        <v>371</v>
      </c>
      <c r="F110" s="1" t="str">
        <f>"2632097463"</f>
        <v>2632097463</v>
      </c>
      <c r="G110" s="1" t="str">
        <f>"263201001"</f>
        <v>263201001</v>
      </c>
      <c r="H110" s="1" t="s">
        <v>18</v>
      </c>
      <c r="I110" s="1" t="s">
        <v>40</v>
      </c>
      <c r="J110" s="1" t="s">
        <v>143</v>
      </c>
      <c r="K110" s="1" t="s">
        <v>372</v>
      </c>
      <c r="M110" s="1" t="s">
        <v>37</v>
      </c>
      <c r="N110" s="1" t="s">
        <v>134</v>
      </c>
    </row>
    <row r="111" spans="1:14" x14ac:dyDescent="0.2">
      <c r="A111" s="1">
        <v>6</v>
      </c>
      <c r="B111" s="1">
        <v>110</v>
      </c>
      <c r="C111" s="1" t="s">
        <v>178</v>
      </c>
      <c r="D111" s="2">
        <v>42439</v>
      </c>
      <c r="E111" s="1" t="s">
        <v>373</v>
      </c>
      <c r="F111" s="1" t="str">
        <f>"2626020600"</f>
        <v>2626020600</v>
      </c>
      <c r="G111" s="1" t="str">
        <f>"262601001"</f>
        <v>262601001</v>
      </c>
      <c r="H111" s="1" t="s">
        <v>18</v>
      </c>
      <c r="I111" s="1" t="s">
        <v>180</v>
      </c>
      <c r="J111" s="1" t="s">
        <v>342</v>
      </c>
      <c r="K111" s="1" t="s">
        <v>374</v>
      </c>
      <c r="L111" s="1" t="s">
        <v>375</v>
      </c>
      <c r="M111" s="1" t="s">
        <v>37</v>
      </c>
      <c r="N111" s="1" t="s">
        <v>134</v>
      </c>
    </row>
    <row r="112" spans="1:14" x14ac:dyDescent="0.2">
      <c r="A112" s="1">
        <v>60</v>
      </c>
      <c r="B112" s="1">
        <v>111</v>
      </c>
      <c r="C112" s="1" t="s">
        <v>337</v>
      </c>
      <c r="D112" s="2">
        <v>42439</v>
      </c>
      <c r="E112" s="1" t="s">
        <v>376</v>
      </c>
      <c r="F112" s="1" t="s">
        <v>377</v>
      </c>
      <c r="H112" s="1" t="s">
        <v>18</v>
      </c>
      <c r="I112" s="1" t="s">
        <v>24</v>
      </c>
      <c r="J112" s="1" t="s">
        <v>152</v>
      </c>
      <c r="K112" s="1" t="s">
        <v>378</v>
      </c>
      <c r="L112" s="1" t="s">
        <v>379</v>
      </c>
      <c r="M112" s="1" t="s">
        <v>37</v>
      </c>
      <c r="N112" s="1" t="s">
        <v>134</v>
      </c>
    </row>
    <row r="113" spans="1:14" x14ac:dyDescent="0.2">
      <c r="A113" s="1">
        <v>60</v>
      </c>
      <c r="B113" s="1">
        <v>112</v>
      </c>
      <c r="C113" s="1" t="s">
        <v>337</v>
      </c>
      <c r="D113" s="2">
        <v>42439</v>
      </c>
      <c r="E113" s="1" t="s">
        <v>380</v>
      </c>
      <c r="F113" s="1" t="s">
        <v>381</v>
      </c>
      <c r="G113" s="1" t="s">
        <v>17</v>
      </c>
      <c r="H113" s="1" t="s">
        <v>18</v>
      </c>
      <c r="I113" s="1" t="s">
        <v>24</v>
      </c>
      <c r="J113" s="1" t="s">
        <v>152</v>
      </c>
      <c r="K113" s="1" t="s">
        <v>382</v>
      </c>
      <c r="L113" s="1" t="s">
        <v>383</v>
      </c>
      <c r="M113" s="1" t="s">
        <v>37</v>
      </c>
      <c r="N113" s="1" t="s">
        <v>134</v>
      </c>
    </row>
    <row r="114" spans="1:14" x14ac:dyDescent="0.2">
      <c r="A114" s="1">
        <v>5</v>
      </c>
      <c r="B114" s="1">
        <v>113</v>
      </c>
      <c r="C114" s="1" t="s">
        <v>178</v>
      </c>
      <c r="D114" s="2">
        <v>42440</v>
      </c>
      <c r="E114" s="1" t="s">
        <v>384</v>
      </c>
      <c r="F114" s="1" t="str">
        <f>"2632000601"</f>
        <v>2632000601</v>
      </c>
      <c r="G114" s="1" t="str">
        <f>"263201001"</f>
        <v>263201001</v>
      </c>
      <c r="H114" s="1" t="s">
        <v>18</v>
      </c>
      <c r="I114" s="1" t="s">
        <v>40</v>
      </c>
      <c r="J114" s="1" t="s">
        <v>41</v>
      </c>
      <c r="K114" s="1" t="s">
        <v>385</v>
      </c>
      <c r="M114" s="1" t="s">
        <v>37</v>
      </c>
      <c r="N114" s="1" t="s">
        <v>134</v>
      </c>
    </row>
    <row r="115" spans="1:14" x14ac:dyDescent="0.2">
      <c r="A115" s="1">
        <v>5</v>
      </c>
      <c r="B115" s="1">
        <v>114</v>
      </c>
      <c r="C115" s="1" t="s">
        <v>197</v>
      </c>
      <c r="D115" s="2">
        <v>42440</v>
      </c>
      <c r="E115" s="1" t="s">
        <v>386</v>
      </c>
      <c r="F115" s="1" t="str">
        <f>"2625025108"</f>
        <v>2625025108</v>
      </c>
      <c r="G115" s="1" t="str">
        <f>"262501001"</f>
        <v>262501001</v>
      </c>
      <c r="H115" s="1" t="s">
        <v>18</v>
      </c>
      <c r="I115" s="1" t="s">
        <v>40</v>
      </c>
      <c r="J115" s="1" t="s">
        <v>245</v>
      </c>
      <c r="K115" s="1" t="s">
        <v>387</v>
      </c>
      <c r="M115" s="1" t="s">
        <v>37</v>
      </c>
      <c r="N115" s="1" t="s">
        <v>134</v>
      </c>
    </row>
    <row r="116" spans="1:14" x14ac:dyDescent="0.2">
      <c r="A116" s="1">
        <v>5</v>
      </c>
      <c r="B116" s="1">
        <v>115</v>
      </c>
      <c r="C116" s="1" t="s">
        <v>337</v>
      </c>
      <c r="D116" s="2">
        <v>42440</v>
      </c>
      <c r="E116" s="1" t="s">
        <v>388</v>
      </c>
      <c r="F116" s="1">
        <v>2618017120</v>
      </c>
      <c r="G116" s="1" t="s">
        <v>249</v>
      </c>
      <c r="H116" s="1" t="s">
        <v>18</v>
      </c>
      <c r="I116" s="1" t="s">
        <v>137</v>
      </c>
      <c r="J116" s="1" t="s">
        <v>245</v>
      </c>
      <c r="K116" s="1" t="s">
        <v>389</v>
      </c>
      <c r="L116" s="1" t="s">
        <v>390</v>
      </c>
      <c r="M116" s="1" t="s">
        <v>37</v>
      </c>
      <c r="N116" s="1" t="s">
        <v>134</v>
      </c>
    </row>
    <row r="117" spans="1:14" x14ac:dyDescent="0.2">
      <c r="A117" s="1">
        <v>59</v>
      </c>
      <c r="B117" s="1">
        <v>116</v>
      </c>
      <c r="C117" s="1" t="s">
        <v>337</v>
      </c>
      <c r="D117" s="2">
        <v>42440</v>
      </c>
      <c r="E117" s="1" t="s">
        <v>391</v>
      </c>
      <c r="F117" s="1" t="s">
        <v>392</v>
      </c>
      <c r="G117" s="1" t="s">
        <v>23</v>
      </c>
      <c r="H117" s="1" t="s">
        <v>18</v>
      </c>
      <c r="I117" s="1" t="s">
        <v>130</v>
      </c>
      <c r="J117" s="1" t="s">
        <v>131</v>
      </c>
      <c r="K117" s="1" t="s">
        <v>393</v>
      </c>
      <c r="L117" s="1" t="s">
        <v>394</v>
      </c>
      <c r="M117" s="1" t="s">
        <v>37</v>
      </c>
      <c r="N117" s="1" t="s">
        <v>134</v>
      </c>
    </row>
    <row r="118" spans="1:14" x14ac:dyDescent="0.2">
      <c r="A118" s="1">
        <v>5</v>
      </c>
      <c r="B118" s="1">
        <v>117</v>
      </c>
      <c r="C118" s="1" t="s">
        <v>178</v>
      </c>
      <c r="D118" s="2">
        <v>42441</v>
      </c>
      <c r="E118" s="1" t="s">
        <v>395</v>
      </c>
      <c r="F118" s="1" t="str">
        <f>"2632010335"</f>
        <v>2632010335</v>
      </c>
      <c r="G118" s="1" t="str">
        <f>"261801001"</f>
        <v>261801001</v>
      </c>
      <c r="H118" s="1" t="s">
        <v>18</v>
      </c>
      <c r="I118" s="1" t="s">
        <v>40</v>
      </c>
      <c r="J118" s="1" t="s">
        <v>143</v>
      </c>
      <c r="K118" s="1" t="s">
        <v>396</v>
      </c>
      <c r="M118" s="1" t="s">
        <v>37</v>
      </c>
      <c r="N118" s="1" t="s">
        <v>134</v>
      </c>
    </row>
    <row r="119" spans="1:14" x14ac:dyDescent="0.2">
      <c r="A119" s="1">
        <v>5</v>
      </c>
      <c r="B119" s="1">
        <v>118</v>
      </c>
      <c r="C119" s="1" t="s">
        <v>197</v>
      </c>
      <c r="D119" s="2">
        <v>42441</v>
      </c>
      <c r="E119" s="1" t="s">
        <v>397</v>
      </c>
      <c r="F119" s="1" t="str">
        <f>"2632800559"</f>
        <v>2632800559</v>
      </c>
      <c r="G119" s="1" t="str">
        <f>"263201001"</f>
        <v>263201001</v>
      </c>
      <c r="H119" s="1" t="s">
        <v>18</v>
      </c>
      <c r="I119" s="1" t="s">
        <v>40</v>
      </c>
      <c r="J119" s="1" t="s">
        <v>398</v>
      </c>
      <c r="K119" s="1" t="s">
        <v>399</v>
      </c>
      <c r="M119" s="1" t="s">
        <v>37</v>
      </c>
      <c r="N119" s="1" t="s">
        <v>134</v>
      </c>
    </row>
    <row r="120" spans="1:14" x14ac:dyDescent="0.2">
      <c r="A120" s="1">
        <v>5</v>
      </c>
      <c r="B120" s="1">
        <v>119</v>
      </c>
      <c r="C120" s="1" t="s">
        <v>337</v>
      </c>
      <c r="D120" s="2">
        <v>42441</v>
      </c>
      <c r="E120" s="1" t="s">
        <v>400</v>
      </c>
      <c r="F120" s="1" t="s">
        <v>401</v>
      </c>
      <c r="G120" s="1" t="s">
        <v>17</v>
      </c>
      <c r="H120" s="1" t="s">
        <v>18</v>
      </c>
      <c r="I120" s="1" t="s">
        <v>19</v>
      </c>
      <c r="J120" s="1" t="s">
        <v>19</v>
      </c>
      <c r="K120" s="1" t="s">
        <v>402</v>
      </c>
      <c r="L120" s="1" t="s">
        <v>403</v>
      </c>
      <c r="M120" s="1" t="s">
        <v>37</v>
      </c>
      <c r="N120" s="1" t="s">
        <v>134</v>
      </c>
    </row>
    <row r="121" spans="1:14" x14ac:dyDescent="0.2">
      <c r="A121" s="1">
        <v>5</v>
      </c>
      <c r="B121" s="1">
        <v>120</v>
      </c>
      <c r="C121" s="1" t="s">
        <v>337</v>
      </c>
      <c r="D121" s="2">
        <v>42441</v>
      </c>
      <c r="E121" s="1" t="s">
        <v>404</v>
      </c>
      <c r="F121" s="1" t="s">
        <v>405</v>
      </c>
      <c r="G121" s="1" t="s">
        <v>17</v>
      </c>
      <c r="H121" s="1" t="s">
        <v>18</v>
      </c>
      <c r="I121" s="1" t="s">
        <v>19</v>
      </c>
      <c r="J121" s="1" t="s">
        <v>19</v>
      </c>
      <c r="K121" s="1" t="s">
        <v>406</v>
      </c>
      <c r="M121" s="1" t="s">
        <v>37</v>
      </c>
      <c r="N121" s="1" t="s">
        <v>134</v>
      </c>
    </row>
    <row r="122" spans="1:14" x14ac:dyDescent="0.2">
      <c r="A122" s="1">
        <v>5</v>
      </c>
      <c r="B122" s="1">
        <v>121</v>
      </c>
      <c r="C122" s="1" t="s">
        <v>337</v>
      </c>
      <c r="D122" s="2">
        <v>42441</v>
      </c>
      <c r="E122" s="1" t="s">
        <v>407</v>
      </c>
      <c r="F122" s="1" t="s">
        <v>408</v>
      </c>
      <c r="G122" s="1" t="s">
        <v>17</v>
      </c>
      <c r="H122" s="1" t="s">
        <v>18</v>
      </c>
      <c r="I122" s="1" t="s">
        <v>19</v>
      </c>
      <c r="J122" s="1" t="s">
        <v>19</v>
      </c>
      <c r="K122" s="1" t="s">
        <v>409</v>
      </c>
      <c r="M122" s="1" t="s">
        <v>37</v>
      </c>
      <c r="N122" s="1" t="s">
        <v>134</v>
      </c>
    </row>
    <row r="123" spans="1:14" x14ac:dyDescent="0.2">
      <c r="A123" s="1">
        <v>60</v>
      </c>
      <c r="B123" s="1">
        <v>122</v>
      </c>
      <c r="C123" s="1" t="s">
        <v>337</v>
      </c>
      <c r="D123" s="2">
        <v>42442</v>
      </c>
      <c r="E123" s="1" t="s">
        <v>410</v>
      </c>
      <c r="F123" s="1" t="s">
        <v>411</v>
      </c>
      <c r="G123" s="1" t="s">
        <v>17</v>
      </c>
      <c r="H123" s="1" t="s">
        <v>18</v>
      </c>
      <c r="I123" s="1" t="s">
        <v>24</v>
      </c>
      <c r="J123" s="1" t="s">
        <v>25</v>
      </c>
      <c r="K123" s="1" t="s">
        <v>412</v>
      </c>
      <c r="L123" s="1" t="s">
        <v>413</v>
      </c>
      <c r="M123" s="1" t="s">
        <v>37</v>
      </c>
      <c r="N123" s="1" t="s">
        <v>134</v>
      </c>
    </row>
    <row r="124" spans="1:14" x14ac:dyDescent="0.2">
      <c r="A124" s="1">
        <v>5</v>
      </c>
      <c r="B124" s="1">
        <v>123</v>
      </c>
      <c r="C124" s="1" t="s">
        <v>337</v>
      </c>
      <c r="D124" s="2">
        <v>42443</v>
      </c>
      <c r="E124" s="1" t="s">
        <v>39</v>
      </c>
      <c r="F124" s="1" t="s">
        <v>414</v>
      </c>
      <c r="G124" s="1" t="s">
        <v>331</v>
      </c>
      <c r="H124" s="1" t="s">
        <v>18</v>
      </c>
      <c r="I124" s="1" t="s">
        <v>137</v>
      </c>
      <c r="J124" s="1" t="s">
        <v>41</v>
      </c>
      <c r="K124" s="1" t="s">
        <v>415</v>
      </c>
      <c r="L124" s="1" t="s">
        <v>416</v>
      </c>
      <c r="M124" s="1" t="s">
        <v>37</v>
      </c>
      <c r="N124" s="1" t="s">
        <v>134</v>
      </c>
    </row>
    <row r="125" spans="1:14" x14ac:dyDescent="0.2">
      <c r="A125" s="1">
        <v>5</v>
      </c>
      <c r="B125" s="1">
        <v>124</v>
      </c>
      <c r="C125" s="1" t="s">
        <v>14</v>
      </c>
      <c r="D125" s="2">
        <v>42444</v>
      </c>
      <c r="E125" s="1" t="s">
        <v>417</v>
      </c>
      <c r="F125" s="1" t="str">
        <f>"2618011390"</f>
        <v>2618011390</v>
      </c>
      <c r="G125" s="1" t="str">
        <f>"261801001"</f>
        <v>261801001</v>
      </c>
      <c r="H125" s="1" t="s">
        <v>18</v>
      </c>
      <c r="I125" s="1" t="s">
        <v>40</v>
      </c>
      <c r="J125" s="1" t="s">
        <v>245</v>
      </c>
      <c r="K125" s="1" t="s">
        <v>418</v>
      </c>
      <c r="M125" s="1" t="s">
        <v>37</v>
      </c>
      <c r="N125" s="1" t="s">
        <v>419</v>
      </c>
    </row>
    <row r="126" spans="1:14" x14ac:dyDescent="0.2">
      <c r="A126" s="1">
        <v>60</v>
      </c>
      <c r="B126" s="1">
        <v>125</v>
      </c>
      <c r="C126" s="1" t="s">
        <v>14</v>
      </c>
      <c r="D126" s="2">
        <v>42444</v>
      </c>
      <c r="E126" s="1" t="s">
        <v>420</v>
      </c>
      <c r="F126" s="1" t="s">
        <v>421</v>
      </c>
      <c r="H126" s="1" t="s">
        <v>18</v>
      </c>
      <c r="I126" s="1" t="s">
        <v>24</v>
      </c>
      <c r="J126" s="1" t="s">
        <v>25</v>
      </c>
      <c r="K126" s="1" t="s">
        <v>422</v>
      </c>
      <c r="L126" s="1" t="s">
        <v>423</v>
      </c>
      <c r="M126" s="1" t="s">
        <v>37</v>
      </c>
      <c r="N126" s="1" t="s">
        <v>424</v>
      </c>
    </row>
    <row r="127" spans="1:14" x14ac:dyDescent="0.2">
      <c r="A127" s="1">
        <v>5</v>
      </c>
      <c r="B127" s="1">
        <v>126</v>
      </c>
      <c r="C127" s="1" t="s">
        <v>178</v>
      </c>
      <c r="D127" s="2">
        <v>42445</v>
      </c>
      <c r="E127" s="1" t="s">
        <v>425</v>
      </c>
      <c r="F127" s="1" t="str">
        <f>"2627061655"</f>
        <v>2627061655</v>
      </c>
      <c r="G127" s="1" t="str">
        <f>"262701001"</f>
        <v>262701001</v>
      </c>
      <c r="H127" s="1" t="s">
        <v>18</v>
      </c>
      <c r="I127" s="1" t="s">
        <v>40</v>
      </c>
      <c r="J127" s="1" t="s">
        <v>41</v>
      </c>
      <c r="K127" s="1" t="s">
        <v>426</v>
      </c>
      <c r="M127" s="1" t="s">
        <v>37</v>
      </c>
      <c r="N127" s="1" t="s">
        <v>134</v>
      </c>
    </row>
    <row r="128" spans="1:14" x14ac:dyDescent="0.2">
      <c r="A128" s="1">
        <v>5</v>
      </c>
      <c r="B128" s="1">
        <v>127</v>
      </c>
      <c r="C128" s="1" t="s">
        <v>337</v>
      </c>
      <c r="D128" s="2">
        <v>42445</v>
      </c>
      <c r="E128" s="1" t="s">
        <v>427</v>
      </c>
      <c r="F128" s="1" t="s">
        <v>428</v>
      </c>
      <c r="G128" s="1" t="s">
        <v>17</v>
      </c>
      <c r="H128" s="1" t="s">
        <v>18</v>
      </c>
      <c r="I128" s="1" t="s">
        <v>137</v>
      </c>
      <c r="J128" s="1" t="s">
        <v>245</v>
      </c>
      <c r="K128" s="1" t="s">
        <v>429</v>
      </c>
      <c r="L128" s="1" t="s">
        <v>430</v>
      </c>
      <c r="M128" s="1" t="s">
        <v>37</v>
      </c>
      <c r="N128" s="1" t="s">
        <v>134</v>
      </c>
    </row>
    <row r="129" spans="1:14" x14ac:dyDescent="0.2">
      <c r="A129" s="1">
        <v>5</v>
      </c>
      <c r="B129" s="1">
        <v>128</v>
      </c>
      <c r="C129" s="1" t="s">
        <v>197</v>
      </c>
      <c r="D129" s="2">
        <v>42446</v>
      </c>
      <c r="E129" s="1" t="s">
        <v>431</v>
      </c>
      <c r="F129" s="1" t="str">
        <f>"2627021010"</f>
        <v>2627021010</v>
      </c>
      <c r="G129" s="1" t="str">
        <f>"262701001"</f>
        <v>262701001</v>
      </c>
      <c r="H129" s="1" t="s">
        <v>18</v>
      </c>
      <c r="I129" s="1" t="s">
        <v>40</v>
      </c>
      <c r="J129" s="1" t="s">
        <v>41</v>
      </c>
      <c r="K129" s="1" t="s">
        <v>432</v>
      </c>
      <c r="M129" s="1" t="s">
        <v>37</v>
      </c>
      <c r="N129" s="1" t="s">
        <v>134</v>
      </c>
    </row>
    <row r="130" spans="1:14" x14ac:dyDescent="0.2">
      <c r="A130" s="1">
        <v>12</v>
      </c>
      <c r="B130" s="1">
        <v>129</v>
      </c>
      <c r="C130" s="1" t="s">
        <v>197</v>
      </c>
      <c r="D130" s="2">
        <v>42446</v>
      </c>
      <c r="E130" s="1" t="s">
        <v>433</v>
      </c>
      <c r="F130" s="1" t="str">
        <f>"2628038313"</f>
        <v>2628038313</v>
      </c>
      <c r="G130" s="1" t="str">
        <f>"262801001"</f>
        <v>262801001</v>
      </c>
      <c r="H130" s="1" t="s">
        <v>18</v>
      </c>
      <c r="I130" s="1" t="s">
        <v>434</v>
      </c>
      <c r="J130" s="1" t="s">
        <v>434</v>
      </c>
      <c r="M130" s="1" t="s">
        <v>37</v>
      </c>
      <c r="N130" s="1" t="s">
        <v>134</v>
      </c>
    </row>
    <row r="131" spans="1:14" x14ac:dyDescent="0.2">
      <c r="A131" s="1">
        <v>60</v>
      </c>
      <c r="B131" s="1">
        <v>130</v>
      </c>
      <c r="C131" s="1" t="s">
        <v>337</v>
      </c>
      <c r="D131" s="2">
        <v>42446</v>
      </c>
      <c r="E131" s="1" t="s">
        <v>435</v>
      </c>
      <c r="F131" s="1" t="s">
        <v>436</v>
      </c>
      <c r="G131" s="1" t="s">
        <v>23</v>
      </c>
      <c r="H131" s="1" t="s">
        <v>18</v>
      </c>
      <c r="I131" s="1" t="s">
        <v>24</v>
      </c>
      <c r="J131" s="1" t="s">
        <v>152</v>
      </c>
      <c r="K131" s="1" t="s">
        <v>437</v>
      </c>
      <c r="L131" s="1" t="s">
        <v>438</v>
      </c>
      <c r="M131" s="1" t="s">
        <v>37</v>
      </c>
      <c r="N131" s="1" t="s">
        <v>134</v>
      </c>
    </row>
    <row r="132" spans="1:14" x14ac:dyDescent="0.2">
      <c r="A132" s="1">
        <v>5</v>
      </c>
      <c r="B132" s="1">
        <v>131</v>
      </c>
      <c r="C132" s="1" t="s">
        <v>197</v>
      </c>
      <c r="D132" s="2">
        <v>42447</v>
      </c>
      <c r="E132" s="1" t="s">
        <v>439</v>
      </c>
      <c r="F132" s="1" t="str">
        <f>"2618019720"</f>
        <v>2618019720</v>
      </c>
      <c r="G132" s="1" t="str">
        <f>"263201001"</f>
        <v>263201001</v>
      </c>
      <c r="H132" s="1" t="s">
        <v>18</v>
      </c>
      <c r="I132" s="1" t="s">
        <v>40</v>
      </c>
      <c r="J132" s="1" t="s">
        <v>143</v>
      </c>
      <c r="M132" s="1" t="s">
        <v>37</v>
      </c>
      <c r="N132" s="1" t="s">
        <v>134</v>
      </c>
    </row>
    <row r="133" spans="1:14" x14ac:dyDescent="0.2">
      <c r="A133" s="1">
        <v>60</v>
      </c>
      <c r="B133" s="1">
        <v>132</v>
      </c>
      <c r="C133" s="1" t="s">
        <v>197</v>
      </c>
      <c r="D133" s="2">
        <v>42447</v>
      </c>
      <c r="E133" s="1" t="s">
        <v>440</v>
      </c>
      <c r="F133" s="1" t="str">
        <f>"2632091542"</f>
        <v>2632091542</v>
      </c>
      <c r="G133" s="1" t="str">
        <f>"263201001"</f>
        <v>263201001</v>
      </c>
      <c r="H133" s="1" t="s">
        <v>18</v>
      </c>
      <c r="I133" s="1" t="s">
        <v>46</v>
      </c>
      <c r="J133" s="1" t="s">
        <v>25</v>
      </c>
      <c r="K133" s="1" t="s">
        <v>441</v>
      </c>
      <c r="M133" s="1" t="s">
        <v>37</v>
      </c>
      <c r="N133" s="1" t="s">
        <v>134</v>
      </c>
    </row>
    <row r="134" spans="1:14" x14ac:dyDescent="0.2">
      <c r="A134" s="1">
        <v>12</v>
      </c>
      <c r="B134" s="1">
        <v>133</v>
      </c>
      <c r="C134" s="1" t="s">
        <v>337</v>
      </c>
      <c r="D134" s="2">
        <v>42447</v>
      </c>
      <c r="E134" s="1" t="s">
        <v>442</v>
      </c>
      <c r="F134" s="1" t="s">
        <v>443</v>
      </c>
      <c r="G134" s="1" t="s">
        <v>444</v>
      </c>
      <c r="H134" s="1" t="s">
        <v>18</v>
      </c>
      <c r="I134" s="1" t="s">
        <v>445</v>
      </c>
      <c r="J134" s="1" t="s">
        <v>434</v>
      </c>
      <c r="K134" s="1" t="s">
        <v>446</v>
      </c>
      <c r="L134" s="1" t="s">
        <v>447</v>
      </c>
      <c r="M134" s="1" t="s">
        <v>37</v>
      </c>
      <c r="N134" s="1" t="s">
        <v>134</v>
      </c>
    </row>
    <row r="135" spans="1:14" x14ac:dyDescent="0.2">
      <c r="A135" s="1">
        <v>5</v>
      </c>
      <c r="B135" s="1">
        <v>134</v>
      </c>
      <c r="C135" s="1" t="s">
        <v>337</v>
      </c>
      <c r="D135" s="2">
        <v>42447</v>
      </c>
      <c r="E135" s="1" t="s">
        <v>448</v>
      </c>
      <c r="F135" s="1" t="s">
        <v>449</v>
      </c>
      <c r="G135" s="1" t="s">
        <v>23</v>
      </c>
      <c r="H135" s="1" t="s">
        <v>18</v>
      </c>
      <c r="I135" s="1" t="s">
        <v>137</v>
      </c>
      <c r="J135" s="1" t="s">
        <v>245</v>
      </c>
      <c r="K135" s="1" t="s">
        <v>450</v>
      </c>
      <c r="L135" s="1" t="s">
        <v>451</v>
      </c>
      <c r="M135" s="1" t="s">
        <v>37</v>
      </c>
      <c r="N135" s="1" t="s">
        <v>134</v>
      </c>
    </row>
    <row r="136" spans="1:14" x14ac:dyDescent="0.2">
      <c r="A136" s="1">
        <v>12</v>
      </c>
      <c r="B136" s="1">
        <v>135</v>
      </c>
      <c r="C136" s="1" t="s">
        <v>337</v>
      </c>
      <c r="D136" s="2">
        <v>42447</v>
      </c>
      <c r="E136" s="1" t="s">
        <v>452</v>
      </c>
      <c r="F136" s="1" t="s">
        <v>453</v>
      </c>
      <c r="G136" s="1" t="s">
        <v>444</v>
      </c>
      <c r="H136" s="1" t="s">
        <v>18</v>
      </c>
      <c r="I136" s="1" t="s">
        <v>445</v>
      </c>
      <c r="J136" s="1" t="s">
        <v>434</v>
      </c>
      <c r="K136" s="1" t="s">
        <v>446</v>
      </c>
      <c r="L136" s="1" t="s">
        <v>447</v>
      </c>
      <c r="M136" s="1" t="s">
        <v>37</v>
      </c>
      <c r="N136" s="1" t="s">
        <v>134</v>
      </c>
    </row>
    <row r="137" spans="1:14" x14ac:dyDescent="0.2">
      <c r="A137" s="1">
        <v>9</v>
      </c>
      <c r="B137" s="1">
        <v>136</v>
      </c>
      <c r="C137" s="1" t="s">
        <v>178</v>
      </c>
      <c r="D137" s="2">
        <v>42448</v>
      </c>
      <c r="E137" s="1" t="s">
        <v>440</v>
      </c>
      <c r="F137" s="1" t="str">
        <f>"2632091542"</f>
        <v>2632091542</v>
      </c>
      <c r="G137" s="1" t="str">
        <f>"263201001"</f>
        <v>263201001</v>
      </c>
      <c r="H137" s="1" t="s">
        <v>18</v>
      </c>
      <c r="I137" s="1" t="s">
        <v>454</v>
      </c>
      <c r="J137" s="1" t="s">
        <v>455</v>
      </c>
      <c r="K137" s="1" t="s">
        <v>441</v>
      </c>
      <c r="M137" s="1" t="s">
        <v>37</v>
      </c>
      <c r="N137" s="1" t="s">
        <v>134</v>
      </c>
    </row>
    <row r="138" spans="1:14" x14ac:dyDescent="0.2">
      <c r="A138" s="1">
        <v>5</v>
      </c>
      <c r="B138" s="1">
        <v>137</v>
      </c>
      <c r="C138" s="1" t="s">
        <v>197</v>
      </c>
      <c r="D138" s="2">
        <v>42448</v>
      </c>
      <c r="E138" s="1" t="s">
        <v>456</v>
      </c>
      <c r="F138" s="1" t="str">
        <f>"2618020596"</f>
        <v>2618020596</v>
      </c>
      <c r="G138" s="1" t="str">
        <f>"261801001"</f>
        <v>261801001</v>
      </c>
      <c r="H138" s="1" t="s">
        <v>18</v>
      </c>
      <c r="I138" s="1" t="s">
        <v>40</v>
      </c>
      <c r="J138" s="1" t="s">
        <v>398</v>
      </c>
      <c r="M138" s="1" t="s">
        <v>37</v>
      </c>
      <c r="N138" s="1" t="s">
        <v>134</v>
      </c>
    </row>
    <row r="139" spans="1:14" x14ac:dyDescent="0.2">
      <c r="A139" s="1">
        <v>5</v>
      </c>
      <c r="B139" s="1">
        <v>138</v>
      </c>
      <c r="C139" s="1" t="s">
        <v>197</v>
      </c>
      <c r="D139" s="2">
        <v>42448</v>
      </c>
      <c r="E139" s="1" t="s">
        <v>457</v>
      </c>
      <c r="F139" s="1" t="str">
        <f>"2632038813"</f>
        <v>2632038813</v>
      </c>
      <c r="G139" s="1" t="str">
        <f>"263201001"</f>
        <v>263201001</v>
      </c>
      <c r="H139" s="1" t="s">
        <v>18</v>
      </c>
      <c r="I139" s="1" t="s">
        <v>40</v>
      </c>
      <c r="J139" s="1" t="s">
        <v>138</v>
      </c>
      <c r="K139" s="1" t="s">
        <v>458</v>
      </c>
      <c r="M139" s="1" t="s">
        <v>37</v>
      </c>
      <c r="N139" s="1" t="s">
        <v>134</v>
      </c>
    </row>
    <row r="140" spans="1:14" x14ac:dyDescent="0.2">
      <c r="A140" s="1">
        <v>6</v>
      </c>
      <c r="B140" s="1">
        <v>139</v>
      </c>
      <c r="C140" s="1" t="s">
        <v>178</v>
      </c>
      <c r="D140" s="2">
        <v>42448</v>
      </c>
      <c r="E140" s="1" t="s">
        <v>459</v>
      </c>
      <c r="F140" s="1" t="str">
        <f>"2627016003"</f>
        <v>2627016003</v>
      </c>
      <c r="G140" s="1" t="str">
        <f>"262701001"</f>
        <v>262701001</v>
      </c>
      <c r="H140" s="1" t="s">
        <v>18</v>
      </c>
      <c r="I140" s="1" t="s">
        <v>180</v>
      </c>
      <c r="J140" s="1" t="s">
        <v>181</v>
      </c>
      <c r="K140" s="1" t="s">
        <v>460</v>
      </c>
      <c r="L140" s="1" t="s">
        <v>461</v>
      </c>
      <c r="M140" s="1" t="s">
        <v>37</v>
      </c>
      <c r="N140" s="1" t="s">
        <v>462</v>
      </c>
    </row>
    <row r="141" spans="1:14" x14ac:dyDescent="0.2">
      <c r="A141" s="1">
        <v>60</v>
      </c>
      <c r="B141" s="1">
        <v>140</v>
      </c>
      <c r="C141" s="1" t="s">
        <v>337</v>
      </c>
      <c r="D141" s="2">
        <v>42448</v>
      </c>
      <c r="E141" s="1" t="s">
        <v>463</v>
      </c>
      <c r="F141" s="1" t="s">
        <v>464</v>
      </c>
      <c r="G141" s="1" t="s">
        <v>30</v>
      </c>
      <c r="H141" s="1" t="s">
        <v>18</v>
      </c>
      <c r="I141" s="1" t="s">
        <v>24</v>
      </c>
      <c r="J141" s="1" t="s">
        <v>25</v>
      </c>
      <c r="K141" s="1" t="s">
        <v>465</v>
      </c>
      <c r="L141" s="1" t="s">
        <v>466</v>
      </c>
      <c r="M141" s="1" t="s">
        <v>37</v>
      </c>
      <c r="N141" s="1" t="s">
        <v>134</v>
      </c>
    </row>
    <row r="142" spans="1:14" x14ac:dyDescent="0.2">
      <c r="A142" s="1">
        <v>60</v>
      </c>
      <c r="B142" s="1">
        <v>141</v>
      </c>
      <c r="C142" s="1" t="s">
        <v>337</v>
      </c>
      <c r="D142" s="2">
        <v>42448</v>
      </c>
      <c r="E142" s="1" t="s">
        <v>467</v>
      </c>
      <c r="F142" s="1" t="s">
        <v>468</v>
      </c>
      <c r="G142" s="1" t="s">
        <v>17</v>
      </c>
      <c r="H142" s="1" t="s">
        <v>18</v>
      </c>
      <c r="I142" s="1" t="s">
        <v>24</v>
      </c>
      <c r="J142" s="1" t="s">
        <v>25</v>
      </c>
      <c r="K142" s="1" t="s">
        <v>469</v>
      </c>
      <c r="L142" s="1" t="s">
        <v>470</v>
      </c>
      <c r="M142" s="1" t="s">
        <v>37</v>
      </c>
      <c r="N142" s="1" t="s">
        <v>134</v>
      </c>
    </row>
    <row r="143" spans="1:14" x14ac:dyDescent="0.2">
      <c r="A143" s="1">
        <v>5</v>
      </c>
      <c r="B143" s="1">
        <v>142</v>
      </c>
      <c r="C143" s="1" t="s">
        <v>337</v>
      </c>
      <c r="D143" s="2">
        <v>42449</v>
      </c>
      <c r="E143" s="1" t="s">
        <v>471</v>
      </c>
      <c r="F143" s="1" t="s">
        <v>472</v>
      </c>
      <c r="G143" s="1" t="s">
        <v>473</v>
      </c>
      <c r="H143" s="1" t="s">
        <v>18</v>
      </c>
      <c r="I143" s="1" t="s">
        <v>19</v>
      </c>
      <c r="J143" s="1" t="s">
        <v>19</v>
      </c>
      <c r="K143" s="1" t="s">
        <v>474</v>
      </c>
      <c r="M143" s="1" t="s">
        <v>37</v>
      </c>
      <c r="N143" s="1" t="s">
        <v>134</v>
      </c>
    </row>
    <row r="144" spans="1:14" x14ac:dyDescent="0.2">
      <c r="A144" s="1">
        <v>5</v>
      </c>
      <c r="B144" s="1">
        <v>143</v>
      </c>
      <c r="C144" s="1" t="s">
        <v>337</v>
      </c>
      <c r="D144" s="2">
        <v>42449</v>
      </c>
      <c r="E144" s="1" t="s">
        <v>475</v>
      </c>
      <c r="F144" s="1" t="s">
        <v>476</v>
      </c>
      <c r="G144" s="1" t="s">
        <v>23</v>
      </c>
      <c r="H144" s="1" t="s">
        <v>18</v>
      </c>
      <c r="I144" s="1" t="s">
        <v>137</v>
      </c>
      <c r="J144" s="1" t="s">
        <v>245</v>
      </c>
      <c r="K144" s="1" t="s">
        <v>477</v>
      </c>
      <c r="L144" s="1" t="s">
        <v>478</v>
      </c>
      <c r="M144" s="1" t="s">
        <v>37</v>
      </c>
      <c r="N144" s="1" t="s">
        <v>134</v>
      </c>
    </row>
    <row r="145" spans="1:14" x14ac:dyDescent="0.2">
      <c r="A145" s="1">
        <v>5</v>
      </c>
      <c r="B145" s="1">
        <v>144</v>
      </c>
      <c r="C145" s="1" t="s">
        <v>337</v>
      </c>
      <c r="D145" s="2">
        <v>42449</v>
      </c>
      <c r="E145" s="1" t="s">
        <v>479</v>
      </c>
      <c r="F145" s="1" t="s">
        <v>480</v>
      </c>
      <c r="G145" s="1" t="s">
        <v>17</v>
      </c>
      <c r="H145" s="1" t="s">
        <v>18</v>
      </c>
      <c r="I145" s="1" t="s">
        <v>137</v>
      </c>
      <c r="J145" s="1" t="s">
        <v>138</v>
      </c>
      <c r="K145" s="1" t="s">
        <v>481</v>
      </c>
      <c r="L145" s="1" t="s">
        <v>482</v>
      </c>
      <c r="M145" s="1" t="s">
        <v>37</v>
      </c>
      <c r="N145" s="1" t="s">
        <v>134</v>
      </c>
    </row>
    <row r="146" spans="1:14" x14ac:dyDescent="0.2">
      <c r="A146" s="1">
        <v>5</v>
      </c>
      <c r="B146" s="1">
        <v>145</v>
      </c>
      <c r="C146" s="1" t="s">
        <v>197</v>
      </c>
      <c r="D146" s="2">
        <v>42451</v>
      </c>
      <c r="E146" s="1" t="s">
        <v>483</v>
      </c>
      <c r="F146" s="1" t="str">
        <f>"0917006331"</f>
        <v>0917006331</v>
      </c>
      <c r="G146" s="1" t="str">
        <f>"091701001"</f>
        <v>091701001</v>
      </c>
      <c r="H146" s="1" t="s">
        <v>18</v>
      </c>
      <c r="I146" s="1" t="s">
        <v>40</v>
      </c>
      <c r="J146" s="1" t="s">
        <v>143</v>
      </c>
      <c r="K146" s="1" t="s">
        <v>484</v>
      </c>
      <c r="M146" s="1" t="s">
        <v>37</v>
      </c>
      <c r="N146" s="1" t="s">
        <v>134</v>
      </c>
    </row>
    <row r="147" spans="1:14" x14ac:dyDescent="0.2">
      <c r="A147" s="1">
        <v>5</v>
      </c>
      <c r="B147" s="1">
        <v>146</v>
      </c>
      <c r="C147" s="1" t="s">
        <v>337</v>
      </c>
      <c r="D147" s="2">
        <v>42451</v>
      </c>
      <c r="E147" s="1" t="s">
        <v>485</v>
      </c>
      <c r="F147" s="1" t="s">
        <v>486</v>
      </c>
      <c r="G147" s="1" t="s">
        <v>17</v>
      </c>
      <c r="H147" s="1" t="s">
        <v>18</v>
      </c>
      <c r="I147" s="1" t="s">
        <v>137</v>
      </c>
      <c r="J147" s="1" t="s">
        <v>245</v>
      </c>
      <c r="K147" s="1" t="s">
        <v>487</v>
      </c>
      <c r="L147" s="1" t="s">
        <v>488</v>
      </c>
      <c r="M147" s="1" t="s">
        <v>37</v>
      </c>
      <c r="N147" s="1" t="s">
        <v>134</v>
      </c>
    </row>
    <row r="148" spans="1:14" x14ac:dyDescent="0.2">
      <c r="A148" s="1">
        <v>5</v>
      </c>
      <c r="B148" s="1">
        <v>147</v>
      </c>
      <c r="C148" s="1" t="s">
        <v>197</v>
      </c>
      <c r="D148" s="2">
        <v>42452</v>
      </c>
      <c r="E148" s="1" t="s">
        <v>489</v>
      </c>
      <c r="F148" s="1" t="str">
        <f>"2632812201"</f>
        <v>2632812201</v>
      </c>
      <c r="G148" s="1" t="str">
        <f>"263201001"</f>
        <v>263201001</v>
      </c>
      <c r="H148" s="1" t="s">
        <v>18</v>
      </c>
      <c r="I148" s="1" t="s">
        <v>40</v>
      </c>
      <c r="J148" s="1" t="s">
        <v>143</v>
      </c>
      <c r="K148" s="1" t="s">
        <v>490</v>
      </c>
      <c r="M148" s="1" t="s">
        <v>37</v>
      </c>
      <c r="N148" s="1" t="s">
        <v>134</v>
      </c>
    </row>
    <row r="149" spans="1:14" x14ac:dyDescent="0.2">
      <c r="A149" s="1">
        <v>60</v>
      </c>
      <c r="B149" s="1">
        <v>148</v>
      </c>
      <c r="C149" s="1" t="s">
        <v>337</v>
      </c>
      <c r="D149" s="2">
        <v>42452</v>
      </c>
      <c r="E149" s="1" t="s">
        <v>491</v>
      </c>
      <c r="F149" s="1" t="s">
        <v>492</v>
      </c>
      <c r="H149" s="1" t="s">
        <v>18</v>
      </c>
      <c r="I149" s="1" t="s">
        <v>24</v>
      </c>
      <c r="J149" s="1" t="s">
        <v>25</v>
      </c>
      <c r="K149" s="1" t="s">
        <v>493</v>
      </c>
      <c r="L149" s="1" t="s">
        <v>494</v>
      </c>
      <c r="M149" s="1" t="s">
        <v>37</v>
      </c>
      <c r="N149" s="1" t="s">
        <v>134</v>
      </c>
    </row>
    <row r="150" spans="1:14" x14ac:dyDescent="0.2">
      <c r="A150" s="1">
        <v>5</v>
      </c>
      <c r="B150" s="1">
        <v>149</v>
      </c>
      <c r="C150" s="1" t="s">
        <v>197</v>
      </c>
      <c r="D150" s="2">
        <v>42453</v>
      </c>
      <c r="E150" s="1" t="s">
        <v>495</v>
      </c>
      <c r="F150" s="1" t="str">
        <f>"263213982424"</f>
        <v>263213982424</v>
      </c>
      <c r="G150" s="1" t="str">
        <f>""</f>
        <v/>
      </c>
      <c r="H150" s="1" t="s">
        <v>18</v>
      </c>
      <c r="I150" s="1" t="s">
        <v>40</v>
      </c>
      <c r="J150" s="1" t="s">
        <v>496</v>
      </c>
      <c r="K150" s="1" t="s">
        <v>497</v>
      </c>
      <c r="L150" s="1" t="s">
        <v>498</v>
      </c>
      <c r="M150" s="1" t="s">
        <v>37</v>
      </c>
      <c r="N150" s="1" t="s">
        <v>134</v>
      </c>
    </row>
    <row r="151" spans="1:14" x14ac:dyDescent="0.2">
      <c r="A151" s="1">
        <v>59</v>
      </c>
      <c r="B151" s="1">
        <v>150</v>
      </c>
      <c r="C151" s="1" t="s">
        <v>337</v>
      </c>
      <c r="D151" s="2">
        <v>42453</v>
      </c>
      <c r="E151" s="1" t="s">
        <v>499</v>
      </c>
      <c r="F151" s="1" t="s">
        <v>500</v>
      </c>
      <c r="G151" s="1" t="s">
        <v>30</v>
      </c>
      <c r="H151" s="1" t="s">
        <v>18</v>
      </c>
      <c r="I151" s="1" t="s">
        <v>130</v>
      </c>
      <c r="J151" s="1" t="s">
        <v>501</v>
      </c>
      <c r="K151" s="1" t="s">
        <v>502</v>
      </c>
      <c r="L151" s="1" t="s">
        <v>503</v>
      </c>
      <c r="M151" s="1" t="s">
        <v>37</v>
      </c>
      <c r="N151" s="1" t="s">
        <v>134</v>
      </c>
    </row>
    <row r="152" spans="1:14" x14ac:dyDescent="0.2">
      <c r="A152" s="1">
        <v>5</v>
      </c>
      <c r="B152" s="1">
        <v>151</v>
      </c>
      <c r="C152" s="1" t="s">
        <v>337</v>
      </c>
      <c r="D152" s="2">
        <v>42453</v>
      </c>
      <c r="E152" s="1" t="s">
        <v>504</v>
      </c>
      <c r="F152" s="1" t="s">
        <v>505</v>
      </c>
      <c r="G152" s="1" t="s">
        <v>23</v>
      </c>
      <c r="H152" s="1" t="s">
        <v>18</v>
      </c>
      <c r="I152" s="1" t="s">
        <v>19</v>
      </c>
      <c r="J152" s="1" t="s">
        <v>19</v>
      </c>
      <c r="K152" s="1" t="s">
        <v>506</v>
      </c>
      <c r="L152" s="1" t="s">
        <v>403</v>
      </c>
      <c r="M152" s="1" t="s">
        <v>37</v>
      </c>
      <c r="N152" s="1" t="s">
        <v>134</v>
      </c>
    </row>
    <row r="153" spans="1:14" x14ac:dyDescent="0.2">
      <c r="A153" s="1">
        <v>12</v>
      </c>
      <c r="B153" s="1">
        <v>152</v>
      </c>
      <c r="C153" s="1" t="s">
        <v>197</v>
      </c>
      <c r="D153" s="2">
        <v>42454</v>
      </c>
      <c r="E153" s="1" t="s">
        <v>507</v>
      </c>
      <c r="F153" s="1" t="str">
        <f>"2632055015"</f>
        <v>2632055015</v>
      </c>
      <c r="G153" s="1" t="str">
        <f>"263201001"</f>
        <v>263201001</v>
      </c>
      <c r="H153" s="1" t="s">
        <v>18</v>
      </c>
      <c r="I153" s="1" t="s">
        <v>434</v>
      </c>
      <c r="J153" s="1" t="s">
        <v>508</v>
      </c>
      <c r="K153" s="1" t="s">
        <v>509</v>
      </c>
      <c r="M153" s="1" t="s">
        <v>37</v>
      </c>
      <c r="N153" s="1" t="s">
        <v>134</v>
      </c>
    </row>
    <row r="154" spans="1:14" x14ac:dyDescent="0.2">
      <c r="A154" s="1">
        <v>5</v>
      </c>
      <c r="B154" s="1">
        <v>153</v>
      </c>
      <c r="C154" s="1" t="s">
        <v>197</v>
      </c>
      <c r="D154" s="2">
        <v>42454</v>
      </c>
      <c r="E154" s="1" t="s">
        <v>510</v>
      </c>
      <c r="F154" s="1" t="str">
        <f>"0603002287"</f>
        <v>0603002287</v>
      </c>
      <c r="G154" s="1" t="str">
        <f>"060501001"</f>
        <v>060501001</v>
      </c>
      <c r="H154" s="1" t="s">
        <v>18</v>
      </c>
      <c r="I154" s="1" t="s">
        <v>40</v>
      </c>
      <c r="J154" s="1" t="s">
        <v>143</v>
      </c>
      <c r="M154" s="1" t="s">
        <v>37</v>
      </c>
      <c r="N154" s="1" t="s">
        <v>134</v>
      </c>
    </row>
    <row r="155" spans="1:14" x14ac:dyDescent="0.2">
      <c r="A155" s="1">
        <v>5</v>
      </c>
      <c r="B155" s="1">
        <v>154</v>
      </c>
      <c r="C155" s="1" t="s">
        <v>197</v>
      </c>
      <c r="D155" s="2">
        <v>42454</v>
      </c>
      <c r="E155" s="1" t="s">
        <v>511</v>
      </c>
      <c r="F155" s="1" t="str">
        <f>"263200285779"</f>
        <v>263200285779</v>
      </c>
      <c r="G155" s="1" t="str">
        <f>""</f>
        <v/>
      </c>
      <c r="H155" s="1" t="s">
        <v>18</v>
      </c>
      <c r="I155" s="1" t="s">
        <v>40</v>
      </c>
      <c r="J155" s="1" t="s">
        <v>143</v>
      </c>
      <c r="K155" s="1" t="s">
        <v>512</v>
      </c>
      <c r="M155" s="1" t="s">
        <v>37</v>
      </c>
      <c r="N155" s="1" t="s">
        <v>134</v>
      </c>
    </row>
    <row r="156" spans="1:14" x14ac:dyDescent="0.2">
      <c r="A156" s="1">
        <v>60</v>
      </c>
      <c r="B156" s="1">
        <v>155</v>
      </c>
      <c r="C156" s="1" t="s">
        <v>197</v>
      </c>
      <c r="D156" s="2">
        <v>42454</v>
      </c>
      <c r="E156" s="1" t="s">
        <v>513</v>
      </c>
      <c r="F156" s="1" t="str">
        <f>"2632807040"</f>
        <v>2632807040</v>
      </c>
      <c r="G156" s="1" t="str">
        <f>"263201001"</f>
        <v>263201001</v>
      </c>
      <c r="H156" s="1" t="s">
        <v>18</v>
      </c>
      <c r="I156" s="1" t="s">
        <v>46</v>
      </c>
      <c r="J156" s="1" t="s">
        <v>25</v>
      </c>
      <c r="K156" s="1" t="s">
        <v>514</v>
      </c>
      <c r="L156" s="1" t="s">
        <v>515</v>
      </c>
      <c r="M156" s="1" t="s">
        <v>37</v>
      </c>
      <c r="N156" s="1" t="s">
        <v>134</v>
      </c>
    </row>
    <row r="157" spans="1:14" x14ac:dyDescent="0.2">
      <c r="A157" s="1">
        <v>5</v>
      </c>
      <c r="B157" s="1">
        <v>156</v>
      </c>
      <c r="C157" s="1" t="s">
        <v>337</v>
      </c>
      <c r="D157" s="2">
        <v>42454</v>
      </c>
      <c r="E157" s="1" t="s">
        <v>516</v>
      </c>
      <c r="F157" s="1" t="s">
        <v>517</v>
      </c>
      <c r="G157" s="1" t="s">
        <v>23</v>
      </c>
      <c r="H157" s="1" t="s">
        <v>18</v>
      </c>
      <c r="I157" s="1" t="s">
        <v>137</v>
      </c>
      <c r="J157" s="1" t="s">
        <v>41</v>
      </c>
      <c r="K157" s="1" t="s">
        <v>518</v>
      </c>
      <c r="L157" s="1" t="s">
        <v>519</v>
      </c>
      <c r="M157" s="1" t="s">
        <v>37</v>
      </c>
      <c r="N157" s="1" t="s">
        <v>134</v>
      </c>
    </row>
    <row r="158" spans="1:14" x14ac:dyDescent="0.2">
      <c r="A158" s="1">
        <v>5</v>
      </c>
      <c r="B158" s="1">
        <v>157</v>
      </c>
      <c r="C158" s="1" t="s">
        <v>337</v>
      </c>
      <c r="D158" s="2">
        <v>42454</v>
      </c>
      <c r="E158" s="1" t="s">
        <v>520</v>
      </c>
      <c r="F158" s="1" t="s">
        <v>521</v>
      </c>
      <c r="G158" s="1" t="s">
        <v>17</v>
      </c>
      <c r="H158" s="1" t="s">
        <v>18</v>
      </c>
      <c r="I158" s="1" t="s">
        <v>19</v>
      </c>
      <c r="J158" s="1" t="s">
        <v>19</v>
      </c>
      <c r="K158" s="1" t="s">
        <v>522</v>
      </c>
      <c r="M158" s="1" t="s">
        <v>37</v>
      </c>
      <c r="N158" s="1" t="s">
        <v>134</v>
      </c>
    </row>
    <row r="159" spans="1:14" x14ac:dyDescent="0.2">
      <c r="A159" s="1">
        <v>5</v>
      </c>
      <c r="B159" s="1">
        <v>158</v>
      </c>
      <c r="C159" s="1" t="s">
        <v>337</v>
      </c>
      <c r="D159" s="2">
        <v>42454</v>
      </c>
      <c r="E159" s="1" t="s">
        <v>507</v>
      </c>
      <c r="F159" s="1" t="s">
        <v>523</v>
      </c>
      <c r="G159" s="1" t="s">
        <v>17</v>
      </c>
      <c r="H159" s="1" t="s">
        <v>18</v>
      </c>
      <c r="I159" s="1" t="s">
        <v>19</v>
      </c>
      <c r="J159" s="1" t="s">
        <v>19</v>
      </c>
      <c r="K159" s="1" t="s">
        <v>524</v>
      </c>
      <c r="L159" s="1" t="s">
        <v>403</v>
      </c>
      <c r="M159" s="1" t="s">
        <v>37</v>
      </c>
      <c r="N159" s="1" t="s">
        <v>134</v>
      </c>
    </row>
    <row r="160" spans="1:14" x14ac:dyDescent="0.2">
      <c r="A160" s="1">
        <v>5</v>
      </c>
      <c r="B160" s="1">
        <v>159</v>
      </c>
      <c r="C160" s="1" t="s">
        <v>178</v>
      </c>
      <c r="D160" s="2">
        <v>42455</v>
      </c>
      <c r="E160" s="1" t="s">
        <v>525</v>
      </c>
      <c r="F160" s="1" t="str">
        <f>"2626800367"</f>
        <v>2626800367</v>
      </c>
      <c r="G160" s="1" t="str">
        <f>"261801001"</f>
        <v>261801001</v>
      </c>
      <c r="H160" s="1" t="s">
        <v>18</v>
      </c>
      <c r="I160" s="1" t="s">
        <v>40</v>
      </c>
      <c r="J160" s="1" t="s">
        <v>41</v>
      </c>
      <c r="K160" s="1" t="s">
        <v>526</v>
      </c>
      <c r="M160" s="1" t="s">
        <v>37</v>
      </c>
      <c r="N160" s="1" t="s">
        <v>134</v>
      </c>
    </row>
    <row r="161" spans="1:14" x14ac:dyDescent="0.2">
      <c r="A161" s="1">
        <v>5</v>
      </c>
      <c r="B161" s="1">
        <v>160</v>
      </c>
      <c r="C161" s="1" t="s">
        <v>337</v>
      </c>
      <c r="D161" s="2">
        <v>42455</v>
      </c>
      <c r="E161" s="1" t="s">
        <v>527</v>
      </c>
      <c r="F161" s="1" t="s">
        <v>528</v>
      </c>
      <c r="G161" s="1" t="s">
        <v>529</v>
      </c>
      <c r="H161" s="1" t="s">
        <v>18</v>
      </c>
      <c r="I161" s="1" t="s">
        <v>137</v>
      </c>
      <c r="J161" s="1" t="s">
        <v>41</v>
      </c>
      <c r="K161" s="1" t="s">
        <v>530</v>
      </c>
      <c r="L161" s="1" t="s">
        <v>531</v>
      </c>
      <c r="M161" s="1" t="s">
        <v>37</v>
      </c>
      <c r="N161" s="1" t="s">
        <v>134</v>
      </c>
    </row>
    <row r="162" spans="1:14" x14ac:dyDescent="0.2">
      <c r="A162" s="1">
        <v>60</v>
      </c>
      <c r="B162" s="1">
        <v>161</v>
      </c>
      <c r="C162" s="1" t="s">
        <v>337</v>
      </c>
      <c r="D162" s="2">
        <v>42455</v>
      </c>
      <c r="E162" s="1" t="s">
        <v>532</v>
      </c>
      <c r="F162" s="1" t="s">
        <v>533</v>
      </c>
      <c r="G162" s="1" t="s">
        <v>23</v>
      </c>
      <c r="H162" s="1" t="s">
        <v>18</v>
      </c>
      <c r="I162" s="1" t="s">
        <v>24</v>
      </c>
      <c r="J162" s="1" t="s">
        <v>25</v>
      </c>
      <c r="K162" s="1" t="s">
        <v>276</v>
      </c>
      <c r="L162" s="1" t="s">
        <v>277</v>
      </c>
      <c r="M162" s="1" t="s">
        <v>37</v>
      </c>
      <c r="N162" s="1" t="s">
        <v>134</v>
      </c>
    </row>
    <row r="163" spans="1:14" x14ac:dyDescent="0.2">
      <c r="A163" s="1">
        <v>60</v>
      </c>
      <c r="B163" s="1">
        <v>162</v>
      </c>
      <c r="C163" s="1" t="s">
        <v>337</v>
      </c>
      <c r="D163" s="2">
        <v>42455</v>
      </c>
      <c r="E163" s="1" t="s">
        <v>534</v>
      </c>
      <c r="F163" s="1" t="s">
        <v>535</v>
      </c>
      <c r="G163" s="1" t="s">
        <v>17</v>
      </c>
      <c r="H163" s="1" t="s">
        <v>18</v>
      </c>
      <c r="I163" s="1" t="s">
        <v>24</v>
      </c>
      <c r="J163" s="1" t="s">
        <v>25</v>
      </c>
      <c r="K163" s="1" t="s">
        <v>536</v>
      </c>
      <c r="L163" s="1" t="s">
        <v>537</v>
      </c>
      <c r="M163" s="1" t="s">
        <v>37</v>
      </c>
      <c r="N163" s="1" t="s">
        <v>134</v>
      </c>
    </row>
    <row r="164" spans="1:14" x14ac:dyDescent="0.2">
      <c r="A164" s="1">
        <v>59</v>
      </c>
      <c r="B164" s="1">
        <v>163</v>
      </c>
      <c r="C164" s="1" t="s">
        <v>337</v>
      </c>
      <c r="D164" s="2">
        <v>42456</v>
      </c>
      <c r="E164" s="1" t="s">
        <v>538</v>
      </c>
      <c r="F164" s="1" t="s">
        <v>539</v>
      </c>
      <c r="G164" s="1" t="s">
        <v>17</v>
      </c>
      <c r="H164" s="1" t="s">
        <v>18</v>
      </c>
      <c r="I164" s="1" t="s">
        <v>130</v>
      </c>
      <c r="J164" s="1" t="s">
        <v>131</v>
      </c>
      <c r="K164" s="1" t="s">
        <v>540</v>
      </c>
      <c r="L164" s="1" t="s">
        <v>541</v>
      </c>
      <c r="M164" s="1" t="s">
        <v>37</v>
      </c>
      <c r="N164" s="1" t="s">
        <v>134</v>
      </c>
    </row>
    <row r="165" spans="1:14" x14ac:dyDescent="0.2">
      <c r="A165" s="1">
        <v>60</v>
      </c>
      <c r="B165" s="1">
        <v>164</v>
      </c>
      <c r="C165" s="1" t="s">
        <v>337</v>
      </c>
      <c r="D165" s="2">
        <v>42456</v>
      </c>
      <c r="E165" s="1" t="s">
        <v>499</v>
      </c>
      <c r="F165" s="1" t="s">
        <v>500</v>
      </c>
      <c r="G165" s="1" t="s">
        <v>30</v>
      </c>
      <c r="H165" s="1" t="s">
        <v>18</v>
      </c>
      <c r="I165" s="1" t="s">
        <v>24</v>
      </c>
      <c r="J165" s="1" t="s">
        <v>25</v>
      </c>
      <c r="K165" s="1" t="s">
        <v>502</v>
      </c>
      <c r="L165" s="1" t="s">
        <v>503</v>
      </c>
      <c r="M165" s="1" t="s">
        <v>37</v>
      </c>
      <c r="N165" s="1" t="s">
        <v>134</v>
      </c>
    </row>
    <row r="166" spans="1:14" x14ac:dyDescent="0.2">
      <c r="A166" s="1">
        <v>60</v>
      </c>
      <c r="B166" s="1">
        <v>165</v>
      </c>
      <c r="C166" s="1" t="s">
        <v>337</v>
      </c>
      <c r="D166" s="2">
        <v>42456</v>
      </c>
      <c r="E166" s="1" t="s">
        <v>538</v>
      </c>
      <c r="F166" s="1" t="s">
        <v>539</v>
      </c>
      <c r="G166" s="1" t="s">
        <v>17</v>
      </c>
      <c r="H166" s="1" t="s">
        <v>18</v>
      </c>
      <c r="I166" s="1" t="s">
        <v>24</v>
      </c>
      <c r="J166" s="1" t="s">
        <v>25</v>
      </c>
      <c r="K166" s="1" t="s">
        <v>540</v>
      </c>
      <c r="L166" s="1" t="s">
        <v>541</v>
      </c>
      <c r="M166" s="1" t="s">
        <v>37</v>
      </c>
      <c r="N166" s="1" t="s">
        <v>134</v>
      </c>
    </row>
    <row r="167" spans="1:14" x14ac:dyDescent="0.2">
      <c r="A167" s="1">
        <v>5</v>
      </c>
      <c r="B167" s="1">
        <v>166</v>
      </c>
      <c r="C167" s="1" t="s">
        <v>337</v>
      </c>
      <c r="D167" s="2">
        <v>42456</v>
      </c>
      <c r="E167" s="1" t="s">
        <v>542</v>
      </c>
      <c r="F167" s="1" t="s">
        <v>543</v>
      </c>
      <c r="G167" s="1" t="s">
        <v>17</v>
      </c>
      <c r="H167" s="1" t="s">
        <v>18</v>
      </c>
      <c r="I167" s="1" t="s">
        <v>137</v>
      </c>
      <c r="J167" s="1" t="s">
        <v>143</v>
      </c>
      <c r="K167" s="1" t="s">
        <v>544</v>
      </c>
      <c r="L167" s="1" t="s">
        <v>545</v>
      </c>
      <c r="M167" s="1" t="s">
        <v>37</v>
      </c>
      <c r="N167" s="1" t="s">
        <v>134</v>
      </c>
    </row>
    <row r="168" spans="1:14" x14ac:dyDescent="0.2">
      <c r="A168" s="1">
        <v>60</v>
      </c>
      <c r="B168" s="1">
        <v>167</v>
      </c>
      <c r="C168" s="1" t="s">
        <v>337</v>
      </c>
      <c r="D168" s="2">
        <v>42456</v>
      </c>
      <c r="E168" s="1" t="s">
        <v>546</v>
      </c>
      <c r="F168" s="1" t="s">
        <v>547</v>
      </c>
      <c r="G168" s="1" t="s">
        <v>17</v>
      </c>
      <c r="H168" s="1" t="s">
        <v>18</v>
      </c>
      <c r="I168" s="1" t="s">
        <v>24</v>
      </c>
      <c r="J168" s="1" t="s">
        <v>152</v>
      </c>
      <c r="K168" s="1" t="s">
        <v>548</v>
      </c>
      <c r="L168" s="1" t="s">
        <v>549</v>
      </c>
      <c r="M168" s="1" t="s">
        <v>37</v>
      </c>
      <c r="N168" s="1" t="s">
        <v>134</v>
      </c>
    </row>
    <row r="169" spans="1:14" x14ac:dyDescent="0.2">
      <c r="A169" s="1">
        <v>5</v>
      </c>
      <c r="B169" s="1">
        <v>168</v>
      </c>
      <c r="C169" s="1" t="s">
        <v>337</v>
      </c>
      <c r="D169" s="2">
        <v>42456</v>
      </c>
      <c r="E169" s="1" t="s">
        <v>550</v>
      </c>
      <c r="F169" s="1" t="s">
        <v>551</v>
      </c>
      <c r="G169" s="1" t="s">
        <v>23</v>
      </c>
      <c r="H169" s="1" t="s">
        <v>18</v>
      </c>
      <c r="I169" s="1" t="s">
        <v>19</v>
      </c>
      <c r="J169" s="1" t="s">
        <v>19</v>
      </c>
      <c r="K169" s="1" t="s">
        <v>552</v>
      </c>
      <c r="L169" s="1" t="s">
        <v>403</v>
      </c>
      <c r="M169" s="1" t="s">
        <v>37</v>
      </c>
      <c r="N169" s="1" t="s">
        <v>134</v>
      </c>
    </row>
    <row r="170" spans="1:14" x14ac:dyDescent="0.2">
      <c r="A170" s="1">
        <v>5</v>
      </c>
      <c r="B170" s="1">
        <v>169</v>
      </c>
      <c r="C170" s="1" t="s">
        <v>337</v>
      </c>
      <c r="D170" s="2">
        <v>42457</v>
      </c>
      <c r="E170" s="1" t="s">
        <v>553</v>
      </c>
      <c r="F170" s="1" t="s">
        <v>554</v>
      </c>
      <c r="G170" s="1" t="s">
        <v>280</v>
      </c>
      <c r="H170" s="1" t="s">
        <v>18</v>
      </c>
      <c r="I170" s="1" t="s">
        <v>137</v>
      </c>
      <c r="J170" s="1" t="s">
        <v>157</v>
      </c>
      <c r="K170" s="1" t="s">
        <v>555</v>
      </c>
      <c r="L170" s="1" t="s">
        <v>556</v>
      </c>
      <c r="M170" s="1" t="s">
        <v>37</v>
      </c>
      <c r="N170" s="1" t="s">
        <v>134</v>
      </c>
    </row>
    <row r="171" spans="1:14" x14ac:dyDescent="0.2">
      <c r="A171" s="1">
        <v>5</v>
      </c>
      <c r="B171" s="1">
        <v>170</v>
      </c>
      <c r="C171" s="1" t="s">
        <v>337</v>
      </c>
      <c r="D171" s="2">
        <v>42457</v>
      </c>
      <c r="E171" s="1" t="s">
        <v>557</v>
      </c>
      <c r="F171" s="1" t="s">
        <v>558</v>
      </c>
      <c r="G171" s="1" t="s">
        <v>559</v>
      </c>
      <c r="H171" s="1" t="s">
        <v>18</v>
      </c>
      <c r="I171" s="1" t="s">
        <v>137</v>
      </c>
      <c r="J171" s="1" t="s">
        <v>41</v>
      </c>
      <c r="K171" s="1" t="s">
        <v>560</v>
      </c>
      <c r="L171" s="1" t="s">
        <v>561</v>
      </c>
      <c r="M171" s="1" t="s">
        <v>37</v>
      </c>
      <c r="N171" s="1" t="s">
        <v>134</v>
      </c>
    </row>
    <row r="172" spans="1:14" x14ac:dyDescent="0.2">
      <c r="A172" s="1">
        <v>5</v>
      </c>
      <c r="B172" s="1">
        <v>171</v>
      </c>
      <c r="C172" s="1" t="s">
        <v>197</v>
      </c>
      <c r="D172" s="2">
        <v>42458</v>
      </c>
      <c r="E172" s="1" t="s">
        <v>562</v>
      </c>
      <c r="F172" s="1" t="str">
        <f>"2632085235"</f>
        <v>2632085235</v>
      </c>
      <c r="G172" s="1" t="str">
        <f>"263201001"</f>
        <v>263201001</v>
      </c>
      <c r="H172" s="1" t="s">
        <v>18</v>
      </c>
      <c r="I172" s="1" t="s">
        <v>40</v>
      </c>
      <c r="J172" s="1" t="s">
        <v>143</v>
      </c>
      <c r="M172" s="1" t="s">
        <v>37</v>
      </c>
      <c r="N172" s="1" t="s">
        <v>134</v>
      </c>
    </row>
    <row r="173" spans="1:14" x14ac:dyDescent="0.2">
      <c r="A173" s="1">
        <v>5</v>
      </c>
      <c r="B173" s="1">
        <v>172</v>
      </c>
      <c r="C173" s="1" t="s">
        <v>197</v>
      </c>
      <c r="D173" s="2">
        <v>42459</v>
      </c>
      <c r="E173" s="1" t="s">
        <v>563</v>
      </c>
      <c r="F173" s="1" t="str">
        <f>"2627800190"</f>
        <v>2627800190</v>
      </c>
      <c r="G173" s="1" t="str">
        <f>"262701001"</f>
        <v>262701001</v>
      </c>
      <c r="H173" s="1" t="s">
        <v>18</v>
      </c>
      <c r="I173" s="1" t="s">
        <v>40</v>
      </c>
      <c r="J173" s="1" t="s">
        <v>138</v>
      </c>
      <c r="M173" s="1" t="s">
        <v>37</v>
      </c>
      <c r="N173" s="1" t="s">
        <v>134</v>
      </c>
    </row>
    <row r="174" spans="1:14" x14ac:dyDescent="0.2">
      <c r="A174" s="1">
        <v>5</v>
      </c>
      <c r="B174" s="1">
        <v>173</v>
      </c>
      <c r="C174" s="1" t="s">
        <v>337</v>
      </c>
      <c r="D174" s="2">
        <v>42459</v>
      </c>
      <c r="E174" s="1" t="s">
        <v>564</v>
      </c>
      <c r="F174" s="1" t="s">
        <v>201</v>
      </c>
      <c r="G174" s="1" t="s">
        <v>565</v>
      </c>
      <c r="H174" s="1" t="s">
        <v>18</v>
      </c>
      <c r="I174" s="1" t="s">
        <v>137</v>
      </c>
      <c r="J174" s="1" t="s">
        <v>41</v>
      </c>
      <c r="K174" s="1" t="s">
        <v>566</v>
      </c>
      <c r="L174" s="1" t="s">
        <v>567</v>
      </c>
      <c r="M174" s="1" t="s">
        <v>37</v>
      </c>
      <c r="N174" s="1" t="s">
        <v>134</v>
      </c>
    </row>
    <row r="175" spans="1:14" x14ac:dyDescent="0.2">
      <c r="A175" s="1">
        <v>59</v>
      </c>
      <c r="B175" s="1">
        <v>174</v>
      </c>
      <c r="C175" s="1" t="s">
        <v>337</v>
      </c>
      <c r="D175" s="2">
        <v>42459</v>
      </c>
      <c r="E175" s="1" t="s">
        <v>568</v>
      </c>
      <c r="F175" s="1" t="s">
        <v>569</v>
      </c>
      <c r="G175" s="1" t="s">
        <v>280</v>
      </c>
      <c r="H175" s="1" t="s">
        <v>18</v>
      </c>
      <c r="I175" s="1" t="s">
        <v>130</v>
      </c>
      <c r="J175" s="1" t="s">
        <v>131</v>
      </c>
      <c r="K175" s="1" t="s">
        <v>570</v>
      </c>
      <c r="L175" s="1" t="s">
        <v>571</v>
      </c>
      <c r="M175" s="1" t="s">
        <v>37</v>
      </c>
      <c r="N175" s="1" t="s">
        <v>134</v>
      </c>
    </row>
    <row r="176" spans="1:14" x14ac:dyDescent="0.2">
      <c r="A176" s="1">
        <v>5</v>
      </c>
      <c r="B176" s="1">
        <v>175</v>
      </c>
      <c r="C176" s="1" t="s">
        <v>337</v>
      </c>
      <c r="D176" s="2">
        <v>42459</v>
      </c>
      <c r="E176" s="1" t="s">
        <v>572</v>
      </c>
      <c r="F176" s="1" t="s">
        <v>573</v>
      </c>
      <c r="G176" s="1" t="s">
        <v>17</v>
      </c>
      <c r="H176" s="1" t="s">
        <v>18</v>
      </c>
      <c r="I176" s="1" t="s">
        <v>19</v>
      </c>
      <c r="J176" s="1" t="s">
        <v>19</v>
      </c>
      <c r="K176" s="1" t="s">
        <v>574</v>
      </c>
      <c r="L176" s="1" t="s">
        <v>575</v>
      </c>
      <c r="M176" s="1" t="s">
        <v>37</v>
      </c>
      <c r="N176" s="1" t="s">
        <v>134</v>
      </c>
    </row>
    <row r="177" spans="1:14" x14ac:dyDescent="0.2">
      <c r="A177" s="1">
        <v>60</v>
      </c>
      <c r="B177" s="1">
        <v>176</v>
      </c>
      <c r="C177" s="1" t="s">
        <v>337</v>
      </c>
      <c r="D177" s="2">
        <v>42460</v>
      </c>
      <c r="E177" s="1" t="s">
        <v>576</v>
      </c>
      <c r="F177" s="1" t="s">
        <v>577</v>
      </c>
      <c r="H177" s="1" t="s">
        <v>18</v>
      </c>
      <c r="I177" s="1" t="s">
        <v>24</v>
      </c>
      <c r="J177" s="1" t="s">
        <v>25</v>
      </c>
      <c r="K177" s="1" t="s">
        <v>578</v>
      </c>
      <c r="L177" s="1" t="s">
        <v>579</v>
      </c>
      <c r="M177" s="1" t="s">
        <v>37</v>
      </c>
      <c r="N177" s="1" t="s">
        <v>134</v>
      </c>
    </row>
    <row r="178" spans="1:14" x14ac:dyDescent="0.2">
      <c r="A178" s="1">
        <v>5</v>
      </c>
      <c r="B178" s="1">
        <v>177</v>
      </c>
      <c r="C178" s="1" t="s">
        <v>337</v>
      </c>
      <c r="D178" s="2">
        <v>42460</v>
      </c>
      <c r="E178" s="1" t="s">
        <v>580</v>
      </c>
      <c r="F178" s="1" t="s">
        <v>581</v>
      </c>
      <c r="G178" s="1" t="s">
        <v>17</v>
      </c>
      <c r="H178" s="1" t="s">
        <v>18</v>
      </c>
      <c r="I178" s="1" t="s">
        <v>137</v>
      </c>
      <c r="J178" s="1" t="s">
        <v>245</v>
      </c>
      <c r="K178" s="1" t="s">
        <v>582</v>
      </c>
      <c r="L178" s="1" t="s">
        <v>583</v>
      </c>
      <c r="M178" s="1" t="s">
        <v>37</v>
      </c>
      <c r="N178" s="1" t="s">
        <v>134</v>
      </c>
    </row>
    <row r="179" spans="1:14" x14ac:dyDescent="0.2">
      <c r="A179" s="1">
        <v>60</v>
      </c>
      <c r="B179" s="1">
        <v>178</v>
      </c>
      <c r="C179" s="1" t="s">
        <v>337</v>
      </c>
      <c r="D179" s="2">
        <v>42460</v>
      </c>
      <c r="E179" s="1" t="s">
        <v>584</v>
      </c>
      <c r="F179" s="1" t="s">
        <v>585</v>
      </c>
      <c r="G179" s="1" t="s">
        <v>17</v>
      </c>
      <c r="H179" s="1" t="s">
        <v>18</v>
      </c>
      <c r="I179" s="1" t="s">
        <v>24</v>
      </c>
      <c r="J179" s="1" t="s">
        <v>152</v>
      </c>
      <c r="K179" s="1" t="s">
        <v>586</v>
      </c>
      <c r="L179" s="1" t="s">
        <v>587</v>
      </c>
      <c r="M179" s="1" t="s">
        <v>37</v>
      </c>
      <c r="N179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2016-02-24T10:56:35Z</dcterms:modified>
</cp:coreProperties>
</file>